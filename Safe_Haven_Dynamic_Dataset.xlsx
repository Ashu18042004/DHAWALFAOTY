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utoshsharma/Desktop/streamlit_project/"/>
    </mc:Choice>
  </mc:AlternateContent>
  <xr:revisionPtr revIDLastSave="0" documentId="13_ncr:1_{B8A022C6-EB5A-CE42-B4E9-349B631145B7}" xr6:coauthVersionLast="47" xr6:coauthVersionMax="47" xr10:uidLastSave="{00000000-0000-0000-0000-000000000000}"/>
  <bookViews>
    <workbookView xWindow="0" yWindow="580" windowWidth="25600" windowHeight="14640" activeTab="1" xr2:uid="{8EBA06E6-6D09-4014-A724-577C3148008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2" l="1"/>
  <c r="AF6" i="2"/>
  <c r="AF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5" i="2"/>
  <c r="Z6" i="2"/>
  <c r="AA6" i="2"/>
  <c r="AB6" i="2"/>
  <c r="Z7" i="2"/>
  <c r="AA7" i="2"/>
  <c r="AB7" i="2"/>
  <c r="Z8" i="2"/>
  <c r="AA8" i="2"/>
  <c r="AB8" i="2"/>
  <c r="Z9" i="2"/>
  <c r="AA9" i="2"/>
  <c r="AB9" i="2"/>
  <c r="Z10" i="2"/>
  <c r="AA10" i="2"/>
  <c r="AB10" i="2"/>
  <c r="Z11" i="2"/>
  <c r="AA11" i="2"/>
  <c r="AB11" i="2"/>
  <c r="Z12" i="2"/>
  <c r="AA12" i="2"/>
  <c r="AB12" i="2"/>
  <c r="Z13" i="2"/>
  <c r="AA13" i="2"/>
  <c r="AB13" i="2"/>
  <c r="Z14" i="2"/>
  <c r="AA14" i="2"/>
  <c r="AB14" i="2"/>
  <c r="Z15" i="2"/>
  <c r="AA15" i="2"/>
  <c r="AB15" i="2"/>
  <c r="Z16" i="2"/>
  <c r="AA16" i="2"/>
  <c r="AB16" i="2"/>
  <c r="Z17" i="2"/>
  <c r="AA17" i="2"/>
  <c r="AB17" i="2"/>
  <c r="Z18" i="2"/>
  <c r="AA18" i="2"/>
  <c r="AB18" i="2"/>
  <c r="Z19" i="2"/>
  <c r="AA19" i="2"/>
  <c r="AB19" i="2"/>
  <c r="Z20" i="2"/>
  <c r="AA20" i="2"/>
  <c r="AB20" i="2"/>
  <c r="Z21" i="2"/>
  <c r="AA21" i="2"/>
  <c r="AB21" i="2"/>
  <c r="Z22" i="2"/>
  <c r="AA22" i="2"/>
  <c r="AB22" i="2"/>
  <c r="Z23" i="2"/>
  <c r="AA23" i="2"/>
  <c r="AB23" i="2"/>
  <c r="Z24" i="2"/>
  <c r="AA24" i="2"/>
  <c r="AB24" i="2"/>
  <c r="Z25" i="2"/>
  <c r="AA25" i="2"/>
  <c r="AB25" i="2"/>
  <c r="Z26" i="2"/>
  <c r="AA26" i="2"/>
  <c r="AB26" i="2"/>
  <c r="Z27" i="2"/>
  <c r="AA27" i="2"/>
  <c r="AB27" i="2"/>
  <c r="Z28" i="2"/>
  <c r="AA28" i="2"/>
  <c r="AB28" i="2"/>
  <c r="Z29" i="2"/>
  <c r="AA29" i="2"/>
  <c r="AB29" i="2"/>
  <c r="Z30" i="2"/>
  <c r="AA30" i="2"/>
  <c r="AB30" i="2"/>
  <c r="Z31" i="2"/>
  <c r="AA31" i="2"/>
  <c r="AB31" i="2"/>
  <c r="Z32" i="2"/>
  <c r="AA32" i="2"/>
  <c r="AB32" i="2"/>
  <c r="Z33" i="2"/>
  <c r="AA33" i="2"/>
  <c r="AB33" i="2"/>
  <c r="Z34" i="2"/>
  <c r="AA34" i="2"/>
  <c r="AB34" i="2"/>
  <c r="Z35" i="2"/>
  <c r="AA35" i="2"/>
  <c r="AB35" i="2"/>
  <c r="Z36" i="2"/>
  <c r="AA36" i="2"/>
  <c r="AB36" i="2"/>
  <c r="Z37" i="2"/>
  <c r="AA37" i="2"/>
  <c r="AB37" i="2"/>
  <c r="Z38" i="2"/>
  <c r="AA38" i="2"/>
  <c r="AB38" i="2"/>
  <c r="Z39" i="2"/>
  <c r="AA39" i="2"/>
  <c r="AB39" i="2"/>
  <c r="Z40" i="2"/>
  <c r="AA40" i="2"/>
  <c r="AB40" i="2"/>
  <c r="Z41" i="2"/>
  <c r="AA41" i="2"/>
  <c r="AB41" i="2"/>
  <c r="Z42" i="2"/>
  <c r="AA42" i="2"/>
  <c r="AB42" i="2"/>
  <c r="Z43" i="2"/>
  <c r="AA43" i="2"/>
  <c r="AB43" i="2"/>
  <c r="Z44" i="2"/>
  <c r="AA44" i="2"/>
  <c r="AB44" i="2"/>
  <c r="Z45" i="2"/>
  <c r="AA45" i="2"/>
  <c r="AB45" i="2"/>
  <c r="Z46" i="2"/>
  <c r="AA46" i="2"/>
  <c r="AB46" i="2"/>
  <c r="Z47" i="2"/>
  <c r="AA47" i="2"/>
  <c r="AB47" i="2"/>
  <c r="Z48" i="2"/>
  <c r="AA48" i="2"/>
  <c r="AB48" i="2"/>
  <c r="Z49" i="2"/>
  <c r="AA49" i="2"/>
  <c r="AB49" i="2"/>
  <c r="Z50" i="2"/>
  <c r="AA50" i="2"/>
  <c r="AB50" i="2"/>
  <c r="Z51" i="2"/>
  <c r="AA51" i="2"/>
  <c r="AB51" i="2"/>
  <c r="Z52" i="2"/>
  <c r="AA52" i="2"/>
  <c r="AB52" i="2"/>
  <c r="Z53" i="2"/>
  <c r="AA53" i="2"/>
  <c r="AB53" i="2"/>
  <c r="Z54" i="2"/>
  <c r="AA54" i="2"/>
  <c r="AB54" i="2"/>
  <c r="Z55" i="2"/>
  <c r="AA55" i="2"/>
  <c r="AB55" i="2"/>
  <c r="Z56" i="2"/>
  <c r="AA56" i="2"/>
  <c r="AB56" i="2"/>
  <c r="Z57" i="2"/>
  <c r="AA57" i="2"/>
  <c r="AB57" i="2"/>
  <c r="Z58" i="2"/>
  <c r="AA58" i="2"/>
  <c r="AB58" i="2"/>
  <c r="Z59" i="2"/>
  <c r="AA59" i="2"/>
  <c r="AB59" i="2"/>
  <c r="Z60" i="2"/>
  <c r="AA60" i="2"/>
  <c r="AB60" i="2"/>
  <c r="Z61" i="2"/>
  <c r="AA61" i="2"/>
  <c r="AB61" i="2"/>
  <c r="Z62" i="2"/>
  <c r="AA62" i="2"/>
  <c r="AB62" i="2"/>
  <c r="Z63" i="2"/>
  <c r="AA63" i="2"/>
  <c r="AB63" i="2"/>
  <c r="Z64" i="2"/>
  <c r="AA64" i="2"/>
  <c r="AB64" i="2"/>
  <c r="Z65" i="2"/>
  <c r="AA65" i="2"/>
  <c r="AB65" i="2"/>
  <c r="Z66" i="2"/>
  <c r="AA66" i="2"/>
  <c r="AB66" i="2"/>
  <c r="Z67" i="2"/>
  <c r="AA67" i="2"/>
  <c r="AB67" i="2"/>
  <c r="Z68" i="2"/>
  <c r="AA68" i="2"/>
  <c r="AB68" i="2"/>
  <c r="Z69" i="2"/>
  <c r="AA69" i="2"/>
  <c r="AB69" i="2"/>
  <c r="Z70" i="2"/>
  <c r="AA70" i="2"/>
  <c r="AB70" i="2"/>
  <c r="Z71" i="2"/>
  <c r="AA71" i="2"/>
  <c r="AB71" i="2"/>
  <c r="Z72" i="2"/>
  <c r="AA72" i="2"/>
  <c r="AB72" i="2"/>
  <c r="Z73" i="2"/>
  <c r="AA73" i="2"/>
  <c r="AB73" i="2"/>
  <c r="Z74" i="2"/>
  <c r="AA74" i="2"/>
  <c r="AB74" i="2"/>
  <c r="Z75" i="2"/>
  <c r="AA75" i="2"/>
  <c r="AB75" i="2"/>
  <c r="Z76" i="2"/>
  <c r="AA76" i="2"/>
  <c r="AB76" i="2"/>
  <c r="Z77" i="2"/>
  <c r="AA77" i="2"/>
  <c r="AB77" i="2"/>
  <c r="Z78" i="2"/>
  <c r="AA78" i="2"/>
  <c r="AB78" i="2"/>
  <c r="Z79" i="2"/>
  <c r="AA79" i="2"/>
  <c r="AB79" i="2"/>
  <c r="Z80" i="2"/>
  <c r="AA80" i="2"/>
  <c r="AB80" i="2"/>
  <c r="Z81" i="2"/>
  <c r="AA81" i="2"/>
  <c r="AB81" i="2"/>
  <c r="Z82" i="2"/>
  <c r="AA82" i="2"/>
  <c r="AB82" i="2"/>
  <c r="Z83" i="2"/>
  <c r="AA83" i="2"/>
  <c r="AB83" i="2"/>
  <c r="Z84" i="2"/>
  <c r="AA84" i="2"/>
  <c r="AB84" i="2"/>
  <c r="Z85" i="2"/>
  <c r="AA85" i="2"/>
  <c r="AB85" i="2"/>
  <c r="Z86" i="2"/>
  <c r="AA86" i="2"/>
  <c r="AB86" i="2"/>
  <c r="Z87" i="2"/>
  <c r="AA87" i="2"/>
  <c r="AB87" i="2"/>
  <c r="Z88" i="2"/>
  <c r="AA88" i="2"/>
  <c r="AB88" i="2"/>
  <c r="Z89" i="2"/>
  <c r="AA89" i="2"/>
  <c r="AB89" i="2"/>
  <c r="Z90" i="2"/>
  <c r="AA90" i="2"/>
  <c r="AB90" i="2"/>
  <c r="Z91" i="2"/>
  <c r="AA91" i="2"/>
  <c r="AB91" i="2"/>
  <c r="Z92" i="2"/>
  <c r="AA92" i="2"/>
  <c r="AB92" i="2"/>
  <c r="Z93" i="2"/>
  <c r="AA93" i="2"/>
  <c r="AB93" i="2"/>
  <c r="Z94" i="2"/>
  <c r="AA94" i="2"/>
  <c r="AB94" i="2"/>
  <c r="Z95" i="2"/>
  <c r="AA95" i="2"/>
  <c r="AB95" i="2"/>
  <c r="Z96" i="2"/>
  <c r="AA96" i="2"/>
  <c r="AB96" i="2"/>
  <c r="Z97" i="2"/>
  <c r="AA97" i="2"/>
  <c r="AB97" i="2"/>
  <c r="Z98" i="2"/>
  <c r="AA98" i="2"/>
  <c r="AB98" i="2"/>
  <c r="Z99" i="2"/>
  <c r="AA99" i="2"/>
  <c r="AB99" i="2"/>
  <c r="Z100" i="2"/>
  <c r="AA100" i="2"/>
  <c r="AB100" i="2"/>
  <c r="Z101" i="2"/>
  <c r="AA101" i="2"/>
  <c r="AB101" i="2"/>
  <c r="Z102" i="2"/>
  <c r="AA102" i="2"/>
  <c r="AB102" i="2"/>
  <c r="Z103" i="2"/>
  <c r="AA103" i="2"/>
  <c r="AB103" i="2"/>
  <c r="Z104" i="2"/>
  <c r="AA104" i="2"/>
  <c r="AB104" i="2"/>
  <c r="Z105" i="2"/>
  <c r="AA105" i="2"/>
  <c r="AB105" i="2"/>
  <c r="Z106" i="2"/>
  <c r="AA106" i="2"/>
  <c r="AB106" i="2"/>
  <c r="Z107" i="2"/>
  <c r="AA107" i="2"/>
  <c r="AB107" i="2"/>
  <c r="Z108" i="2"/>
  <c r="AA108" i="2"/>
  <c r="AB108" i="2"/>
  <c r="Z109" i="2"/>
  <c r="AA109" i="2"/>
  <c r="AB109" i="2"/>
  <c r="Z110" i="2"/>
  <c r="AA110" i="2"/>
  <c r="AB110" i="2"/>
  <c r="Z111" i="2"/>
  <c r="AA111" i="2"/>
  <c r="AB111" i="2"/>
  <c r="Z112" i="2"/>
  <c r="AA112" i="2"/>
  <c r="AB112" i="2"/>
  <c r="Z113" i="2"/>
  <c r="AA113" i="2"/>
  <c r="AB113" i="2"/>
  <c r="Z114" i="2"/>
  <c r="AA114" i="2"/>
  <c r="AB114" i="2"/>
  <c r="Z115" i="2"/>
  <c r="AA115" i="2"/>
  <c r="AB115" i="2"/>
  <c r="Z116" i="2"/>
  <c r="AA116" i="2"/>
  <c r="AB116" i="2"/>
  <c r="Z117" i="2"/>
  <c r="AA117" i="2"/>
  <c r="AB117" i="2"/>
  <c r="Z118" i="2"/>
  <c r="AA118" i="2"/>
  <c r="AB118" i="2"/>
  <c r="Z119" i="2"/>
  <c r="AA119" i="2"/>
  <c r="AB119" i="2"/>
  <c r="Z120" i="2"/>
  <c r="AA120" i="2"/>
  <c r="AB120" i="2"/>
  <c r="Z121" i="2"/>
  <c r="AA121" i="2"/>
  <c r="AB121" i="2"/>
  <c r="Z122" i="2"/>
  <c r="AA122" i="2"/>
  <c r="AB122" i="2"/>
  <c r="Z123" i="2"/>
  <c r="AA123" i="2"/>
  <c r="AB123" i="2"/>
  <c r="Z124" i="2"/>
  <c r="AA124" i="2"/>
  <c r="AB124" i="2"/>
  <c r="Z125" i="2"/>
  <c r="AA125" i="2"/>
  <c r="AB125" i="2"/>
  <c r="Z126" i="2"/>
  <c r="AA126" i="2"/>
  <c r="AB126" i="2"/>
  <c r="Z127" i="2"/>
  <c r="AA127" i="2"/>
  <c r="AB127" i="2"/>
  <c r="Z128" i="2"/>
  <c r="AA128" i="2"/>
  <c r="AB128" i="2"/>
  <c r="Z129" i="2"/>
  <c r="AA129" i="2"/>
  <c r="AB129" i="2"/>
  <c r="Z130" i="2"/>
  <c r="AA130" i="2"/>
  <c r="AB130" i="2"/>
  <c r="Z131" i="2"/>
  <c r="AA131" i="2"/>
  <c r="AB131" i="2"/>
  <c r="Z132" i="2"/>
  <c r="AA132" i="2"/>
  <c r="AB132" i="2"/>
  <c r="Z133" i="2"/>
  <c r="AA133" i="2"/>
  <c r="AB133" i="2"/>
  <c r="Z134" i="2"/>
  <c r="AA134" i="2"/>
  <c r="AB134" i="2"/>
  <c r="Z135" i="2"/>
  <c r="AA135" i="2"/>
  <c r="AB135" i="2"/>
  <c r="Z136" i="2"/>
  <c r="AA136" i="2"/>
  <c r="AB136" i="2"/>
  <c r="Z137" i="2"/>
  <c r="AA137" i="2"/>
  <c r="AB137" i="2"/>
  <c r="Z138" i="2"/>
  <c r="AA138" i="2"/>
  <c r="AB138" i="2"/>
  <c r="Z139" i="2"/>
  <c r="AA139" i="2"/>
  <c r="AB139" i="2"/>
  <c r="Z140" i="2"/>
  <c r="AA140" i="2"/>
  <c r="AB140" i="2"/>
  <c r="Z141" i="2"/>
  <c r="AA141" i="2"/>
  <c r="AB141" i="2"/>
  <c r="Z142" i="2"/>
  <c r="AA142" i="2"/>
  <c r="AB142" i="2"/>
  <c r="Z143" i="2"/>
  <c r="AA143" i="2"/>
  <c r="AB143" i="2"/>
  <c r="Z144" i="2"/>
  <c r="AA144" i="2"/>
  <c r="AB144" i="2"/>
  <c r="Z145" i="2"/>
  <c r="AA145" i="2"/>
  <c r="AB145" i="2"/>
  <c r="Z146" i="2"/>
  <c r="AA146" i="2"/>
  <c r="AB146" i="2"/>
  <c r="Z147" i="2"/>
  <c r="AA147" i="2"/>
  <c r="AB147" i="2"/>
  <c r="Z148" i="2"/>
  <c r="AA148" i="2"/>
  <c r="AB148" i="2"/>
  <c r="Z149" i="2"/>
  <c r="AA149" i="2"/>
  <c r="AB149" i="2"/>
  <c r="Z150" i="2"/>
  <c r="AA150" i="2"/>
  <c r="AB150" i="2"/>
  <c r="Z151" i="2"/>
  <c r="AA151" i="2"/>
  <c r="AB151" i="2"/>
  <c r="Z152" i="2"/>
  <c r="AA152" i="2"/>
  <c r="AB152" i="2"/>
  <c r="Z153" i="2"/>
  <c r="AA153" i="2"/>
  <c r="AB153" i="2"/>
  <c r="Z154" i="2"/>
  <c r="AA154" i="2"/>
  <c r="AB154" i="2"/>
  <c r="Z155" i="2"/>
  <c r="AA155" i="2"/>
  <c r="AB155" i="2"/>
  <c r="Z156" i="2"/>
  <c r="AA156" i="2"/>
  <c r="AB156" i="2"/>
  <c r="Z157" i="2"/>
  <c r="AA157" i="2"/>
  <c r="AB157" i="2"/>
  <c r="Z158" i="2"/>
  <c r="AA158" i="2"/>
  <c r="AB158" i="2"/>
  <c r="Z159" i="2"/>
  <c r="AA159" i="2"/>
  <c r="AB159" i="2"/>
  <c r="Z160" i="2"/>
  <c r="AA160" i="2"/>
  <c r="AB160" i="2"/>
  <c r="Z161" i="2"/>
  <c r="AA161" i="2"/>
  <c r="AB161" i="2"/>
  <c r="Z162" i="2"/>
  <c r="AA162" i="2"/>
  <c r="AB162" i="2"/>
  <c r="Z163" i="2"/>
  <c r="AA163" i="2"/>
  <c r="AB163" i="2"/>
  <c r="Z164" i="2"/>
  <c r="AA164" i="2"/>
  <c r="AB164" i="2"/>
  <c r="Z165" i="2"/>
  <c r="AA165" i="2"/>
  <c r="AB165" i="2"/>
  <c r="Z166" i="2"/>
  <c r="AA166" i="2"/>
  <c r="AB166" i="2"/>
  <c r="Z167" i="2"/>
  <c r="AA167" i="2"/>
  <c r="AB167" i="2"/>
  <c r="Z168" i="2"/>
  <c r="AA168" i="2"/>
  <c r="AB168" i="2"/>
  <c r="Z169" i="2"/>
  <c r="AA169" i="2"/>
  <c r="AB169" i="2"/>
  <c r="Z170" i="2"/>
  <c r="AA170" i="2"/>
  <c r="AB170" i="2"/>
  <c r="Z171" i="2"/>
  <c r="AA171" i="2"/>
  <c r="AB171" i="2"/>
  <c r="Z172" i="2"/>
  <c r="AA172" i="2"/>
  <c r="AB172" i="2"/>
  <c r="Z173" i="2"/>
  <c r="AA173" i="2"/>
  <c r="AB173" i="2"/>
  <c r="Z174" i="2"/>
  <c r="AA174" i="2"/>
  <c r="AB174" i="2"/>
  <c r="Z175" i="2"/>
  <c r="AA175" i="2"/>
  <c r="AB175" i="2"/>
  <c r="Z176" i="2"/>
  <c r="AA176" i="2"/>
  <c r="AB176" i="2"/>
  <c r="Z177" i="2"/>
  <c r="AA177" i="2"/>
  <c r="AB177" i="2"/>
  <c r="Z178" i="2"/>
  <c r="AA178" i="2"/>
  <c r="AB178" i="2"/>
  <c r="Z179" i="2"/>
  <c r="AA179" i="2"/>
  <c r="AB179" i="2"/>
  <c r="Z180" i="2"/>
  <c r="AA180" i="2"/>
  <c r="AB180" i="2"/>
  <c r="Z181" i="2"/>
  <c r="AA181" i="2"/>
  <c r="AB181" i="2"/>
  <c r="Z182" i="2"/>
  <c r="AA182" i="2"/>
  <c r="AB182" i="2"/>
  <c r="Z183" i="2"/>
  <c r="AA183" i="2"/>
  <c r="AB183" i="2"/>
  <c r="Z184" i="2"/>
  <c r="AA184" i="2"/>
  <c r="AB184" i="2"/>
  <c r="Z185" i="2"/>
  <c r="AA185" i="2"/>
  <c r="AB185" i="2"/>
  <c r="Z186" i="2"/>
  <c r="AA186" i="2"/>
  <c r="AB186" i="2"/>
  <c r="Z187" i="2"/>
  <c r="AA187" i="2"/>
  <c r="AB187" i="2"/>
  <c r="Z188" i="2"/>
  <c r="AA188" i="2"/>
  <c r="AB188" i="2"/>
  <c r="Z189" i="2"/>
  <c r="AA189" i="2"/>
  <c r="AB189" i="2"/>
  <c r="Z190" i="2"/>
  <c r="AA190" i="2"/>
  <c r="AB190" i="2"/>
  <c r="Z191" i="2"/>
  <c r="AA191" i="2"/>
  <c r="AB191" i="2"/>
  <c r="Z192" i="2"/>
  <c r="AA192" i="2"/>
  <c r="AB192" i="2"/>
  <c r="Z193" i="2"/>
  <c r="AA193" i="2"/>
  <c r="AB193" i="2"/>
  <c r="Z194" i="2"/>
  <c r="AA194" i="2"/>
  <c r="AB194" i="2"/>
  <c r="Z195" i="2"/>
  <c r="AA195" i="2"/>
  <c r="AB195" i="2"/>
  <c r="Z196" i="2"/>
  <c r="AA196" i="2"/>
  <c r="AB196" i="2"/>
  <c r="Z197" i="2"/>
  <c r="AA197" i="2"/>
  <c r="AB197" i="2"/>
  <c r="Z198" i="2"/>
  <c r="AA198" i="2"/>
  <c r="AB198" i="2"/>
  <c r="Z199" i="2"/>
  <c r="AA199" i="2"/>
  <c r="AB199" i="2"/>
  <c r="Z200" i="2"/>
  <c r="AA200" i="2"/>
  <c r="AB200" i="2"/>
  <c r="Z201" i="2"/>
  <c r="AA201" i="2"/>
  <c r="AB201" i="2"/>
  <c r="Z202" i="2"/>
  <c r="AA202" i="2"/>
  <c r="AB202" i="2"/>
  <c r="Z203" i="2"/>
  <c r="AA203" i="2"/>
  <c r="AB203" i="2"/>
  <c r="Z204" i="2"/>
  <c r="AA204" i="2"/>
  <c r="AB204" i="2"/>
  <c r="Z205" i="2"/>
  <c r="AA205" i="2"/>
  <c r="AB205" i="2"/>
  <c r="Z206" i="2"/>
  <c r="AA206" i="2"/>
  <c r="AB206" i="2"/>
  <c r="Z207" i="2"/>
  <c r="AA207" i="2"/>
  <c r="AB207" i="2"/>
  <c r="Z208" i="2"/>
  <c r="AA208" i="2"/>
  <c r="AB208" i="2"/>
  <c r="Z209" i="2"/>
  <c r="AA209" i="2"/>
  <c r="AB209" i="2"/>
  <c r="Z210" i="2"/>
  <c r="AA210" i="2"/>
  <c r="AB210" i="2"/>
  <c r="Z211" i="2"/>
  <c r="AA211" i="2"/>
  <c r="AB211" i="2"/>
  <c r="Z212" i="2"/>
  <c r="AA212" i="2"/>
  <c r="AB212" i="2"/>
  <c r="Z213" i="2"/>
  <c r="AA213" i="2"/>
  <c r="AB213" i="2"/>
  <c r="Z214" i="2"/>
  <c r="AA214" i="2"/>
  <c r="AB214" i="2"/>
  <c r="Z215" i="2"/>
  <c r="AA215" i="2"/>
  <c r="AB215" i="2"/>
  <c r="Z216" i="2"/>
  <c r="AA216" i="2"/>
  <c r="AB216" i="2"/>
  <c r="Z217" i="2"/>
  <c r="AA217" i="2"/>
  <c r="AB217" i="2"/>
  <c r="Z218" i="2"/>
  <c r="AA218" i="2"/>
  <c r="AB218" i="2"/>
  <c r="Z219" i="2"/>
  <c r="AA219" i="2"/>
  <c r="AB219" i="2"/>
  <c r="Z220" i="2"/>
  <c r="AA220" i="2"/>
  <c r="AB220" i="2"/>
  <c r="Z221" i="2"/>
  <c r="AA221" i="2"/>
  <c r="AB221" i="2"/>
  <c r="Z222" i="2"/>
  <c r="AA222" i="2"/>
  <c r="AB222" i="2"/>
  <c r="Z223" i="2"/>
  <c r="AA223" i="2"/>
  <c r="AB223" i="2"/>
  <c r="Z224" i="2"/>
  <c r="AA224" i="2"/>
  <c r="AB224" i="2"/>
  <c r="Z225" i="2"/>
  <c r="AA225" i="2"/>
  <c r="AB225" i="2"/>
  <c r="Z226" i="2"/>
  <c r="AA226" i="2"/>
  <c r="AB226" i="2"/>
  <c r="Z227" i="2"/>
  <c r="AA227" i="2"/>
  <c r="AB227" i="2"/>
  <c r="Z228" i="2"/>
  <c r="AA228" i="2"/>
  <c r="AB228" i="2"/>
  <c r="Z229" i="2"/>
  <c r="AA229" i="2"/>
  <c r="AB229" i="2"/>
  <c r="Z230" i="2"/>
  <c r="AA230" i="2"/>
  <c r="AB230" i="2"/>
  <c r="Z231" i="2"/>
  <c r="AA231" i="2"/>
  <c r="AB231" i="2"/>
  <c r="Z232" i="2"/>
  <c r="AA232" i="2"/>
  <c r="AB232" i="2"/>
  <c r="Z233" i="2"/>
  <c r="AA233" i="2"/>
  <c r="AB233" i="2"/>
  <c r="Z234" i="2"/>
  <c r="AA234" i="2"/>
  <c r="AB234" i="2"/>
  <c r="Z235" i="2"/>
  <c r="AA235" i="2"/>
  <c r="AB235" i="2"/>
  <c r="Z236" i="2"/>
  <c r="AA236" i="2"/>
  <c r="AB236" i="2"/>
  <c r="Z237" i="2"/>
  <c r="AA237" i="2"/>
  <c r="AB237" i="2"/>
  <c r="Z238" i="2"/>
  <c r="AA238" i="2"/>
  <c r="AB238" i="2"/>
  <c r="Z239" i="2"/>
  <c r="AA239" i="2"/>
  <c r="AB239" i="2"/>
  <c r="Z240" i="2"/>
  <c r="AA240" i="2"/>
  <c r="AB240" i="2"/>
  <c r="Z241" i="2"/>
  <c r="AA241" i="2"/>
  <c r="AB241" i="2"/>
  <c r="Z242" i="2"/>
  <c r="AA242" i="2"/>
  <c r="AB242" i="2"/>
  <c r="Z243" i="2"/>
  <c r="AA243" i="2"/>
  <c r="AB243" i="2"/>
  <c r="Z244" i="2"/>
  <c r="AA244" i="2"/>
  <c r="AB244" i="2"/>
  <c r="Z245" i="2"/>
  <c r="AA245" i="2"/>
  <c r="AB245" i="2"/>
  <c r="Z246" i="2"/>
  <c r="AA246" i="2"/>
  <c r="AB246" i="2"/>
  <c r="Z247" i="2"/>
  <c r="AA247" i="2"/>
  <c r="AB247" i="2"/>
  <c r="Z248" i="2"/>
  <c r="AA248" i="2"/>
  <c r="AB248" i="2"/>
  <c r="Z249" i="2"/>
  <c r="AA249" i="2"/>
  <c r="AB249" i="2"/>
  <c r="Z250" i="2"/>
  <c r="AA250" i="2"/>
  <c r="AB250" i="2"/>
  <c r="Z251" i="2"/>
  <c r="AA251" i="2"/>
  <c r="AB251" i="2"/>
  <c r="Z252" i="2"/>
  <c r="AA252" i="2"/>
  <c r="AB252" i="2"/>
  <c r="Z253" i="2"/>
  <c r="AA253" i="2"/>
  <c r="AB253" i="2"/>
  <c r="Z254" i="2"/>
  <c r="AA254" i="2"/>
  <c r="AB254" i="2"/>
  <c r="Z255" i="2"/>
  <c r="AA255" i="2"/>
  <c r="AB255" i="2"/>
  <c r="Z256" i="2"/>
  <c r="AA256" i="2"/>
  <c r="AB256" i="2"/>
  <c r="Z257" i="2"/>
  <c r="AA257" i="2"/>
  <c r="AB257" i="2"/>
  <c r="Z258" i="2"/>
  <c r="AA258" i="2"/>
  <c r="AB258" i="2"/>
  <c r="Z259" i="2"/>
  <c r="AA259" i="2"/>
  <c r="AB259" i="2"/>
  <c r="Z260" i="2"/>
  <c r="AA260" i="2"/>
  <c r="AB260" i="2"/>
  <c r="Z261" i="2"/>
  <c r="AA261" i="2"/>
  <c r="AB261" i="2"/>
  <c r="Z262" i="2"/>
  <c r="AA262" i="2"/>
  <c r="AB262" i="2"/>
  <c r="Z263" i="2"/>
  <c r="AA263" i="2"/>
  <c r="AB263" i="2"/>
  <c r="Z264" i="2"/>
  <c r="AA264" i="2"/>
  <c r="AB264" i="2"/>
  <c r="Z265" i="2"/>
  <c r="AA265" i="2"/>
  <c r="AB265" i="2"/>
  <c r="Z266" i="2"/>
  <c r="AA266" i="2"/>
  <c r="AB266" i="2"/>
  <c r="Z267" i="2"/>
  <c r="AA267" i="2"/>
  <c r="AB267" i="2"/>
  <c r="Z268" i="2"/>
  <c r="AA268" i="2"/>
  <c r="AB268" i="2"/>
  <c r="Z269" i="2"/>
  <c r="AA269" i="2"/>
  <c r="AB269" i="2"/>
  <c r="Z270" i="2"/>
  <c r="AA270" i="2"/>
  <c r="AB270" i="2"/>
  <c r="AA5" i="2"/>
  <c r="AB5" i="2"/>
  <c r="Z5" i="2"/>
  <c r="U6" i="2"/>
  <c r="V6" i="2"/>
  <c r="W6" i="2"/>
  <c r="U7" i="2"/>
  <c r="V7" i="2"/>
  <c r="W7" i="2"/>
  <c r="U8" i="2"/>
  <c r="V8" i="2"/>
  <c r="W8" i="2"/>
  <c r="U9" i="2"/>
  <c r="V9" i="2"/>
  <c r="W9" i="2"/>
  <c r="U10" i="2"/>
  <c r="V10" i="2"/>
  <c r="W10" i="2"/>
  <c r="U11" i="2"/>
  <c r="V11" i="2"/>
  <c r="W11" i="2"/>
  <c r="U12" i="2"/>
  <c r="V12" i="2"/>
  <c r="W12" i="2"/>
  <c r="U13" i="2"/>
  <c r="V13" i="2"/>
  <c r="W13" i="2"/>
  <c r="U14" i="2"/>
  <c r="V14" i="2"/>
  <c r="W14" i="2"/>
  <c r="U15" i="2"/>
  <c r="V15" i="2"/>
  <c r="W15" i="2"/>
  <c r="U16" i="2"/>
  <c r="V16" i="2"/>
  <c r="W16" i="2"/>
  <c r="U17" i="2"/>
  <c r="V17" i="2"/>
  <c r="W17" i="2"/>
  <c r="U18" i="2"/>
  <c r="V18" i="2"/>
  <c r="W18" i="2"/>
  <c r="U19" i="2"/>
  <c r="V19" i="2"/>
  <c r="W19" i="2"/>
  <c r="U20" i="2"/>
  <c r="V20" i="2"/>
  <c r="W20" i="2"/>
  <c r="U21" i="2"/>
  <c r="V21" i="2"/>
  <c r="W21" i="2"/>
  <c r="U22" i="2"/>
  <c r="V22" i="2"/>
  <c r="W22" i="2"/>
  <c r="U23" i="2"/>
  <c r="V23" i="2"/>
  <c r="W23" i="2"/>
  <c r="U24" i="2"/>
  <c r="V24" i="2"/>
  <c r="W24" i="2"/>
  <c r="U25" i="2"/>
  <c r="V25" i="2"/>
  <c r="W25" i="2"/>
  <c r="U26" i="2"/>
  <c r="V26" i="2"/>
  <c r="W26" i="2"/>
  <c r="U27" i="2"/>
  <c r="V27" i="2"/>
  <c r="W27" i="2"/>
  <c r="U28" i="2"/>
  <c r="V28" i="2"/>
  <c r="W28" i="2"/>
  <c r="U29" i="2"/>
  <c r="V29" i="2"/>
  <c r="W29" i="2"/>
  <c r="U30" i="2"/>
  <c r="V30" i="2"/>
  <c r="W30" i="2"/>
  <c r="U31" i="2"/>
  <c r="V31" i="2"/>
  <c r="W31" i="2"/>
  <c r="U32" i="2"/>
  <c r="V32" i="2"/>
  <c r="W32" i="2"/>
  <c r="U33" i="2"/>
  <c r="V33" i="2"/>
  <c r="W33" i="2"/>
  <c r="U34" i="2"/>
  <c r="V34" i="2"/>
  <c r="W34" i="2"/>
  <c r="U35" i="2"/>
  <c r="V35" i="2"/>
  <c r="W35" i="2"/>
  <c r="U36" i="2"/>
  <c r="V36" i="2"/>
  <c r="W36" i="2"/>
  <c r="U37" i="2"/>
  <c r="V37" i="2"/>
  <c r="W37" i="2"/>
  <c r="U38" i="2"/>
  <c r="V38" i="2"/>
  <c r="W38" i="2"/>
  <c r="U39" i="2"/>
  <c r="V39" i="2"/>
  <c r="W39" i="2"/>
  <c r="U40" i="2"/>
  <c r="V40" i="2"/>
  <c r="W40" i="2"/>
  <c r="U41" i="2"/>
  <c r="V41" i="2"/>
  <c r="W41" i="2"/>
  <c r="U42" i="2"/>
  <c r="V42" i="2"/>
  <c r="W42" i="2"/>
  <c r="U43" i="2"/>
  <c r="V43" i="2"/>
  <c r="W43" i="2"/>
  <c r="U44" i="2"/>
  <c r="V44" i="2"/>
  <c r="W44" i="2"/>
  <c r="U45" i="2"/>
  <c r="V45" i="2"/>
  <c r="W45" i="2"/>
  <c r="U46" i="2"/>
  <c r="V46" i="2"/>
  <c r="W46" i="2"/>
  <c r="U47" i="2"/>
  <c r="V47" i="2"/>
  <c r="W47" i="2"/>
  <c r="U48" i="2"/>
  <c r="V48" i="2"/>
  <c r="W48" i="2"/>
  <c r="U49" i="2"/>
  <c r="V49" i="2"/>
  <c r="W49" i="2"/>
  <c r="U50" i="2"/>
  <c r="V50" i="2"/>
  <c r="W50" i="2"/>
  <c r="U51" i="2"/>
  <c r="V51" i="2"/>
  <c r="W51" i="2"/>
  <c r="U52" i="2"/>
  <c r="V52" i="2"/>
  <c r="W52" i="2"/>
  <c r="U53" i="2"/>
  <c r="V53" i="2"/>
  <c r="W53" i="2"/>
  <c r="U54" i="2"/>
  <c r="V54" i="2"/>
  <c r="W54" i="2"/>
  <c r="U55" i="2"/>
  <c r="V55" i="2"/>
  <c r="W55" i="2"/>
  <c r="U56" i="2"/>
  <c r="V56" i="2"/>
  <c r="W56" i="2"/>
  <c r="U57" i="2"/>
  <c r="V57" i="2"/>
  <c r="W57" i="2"/>
  <c r="U58" i="2"/>
  <c r="V58" i="2"/>
  <c r="W58" i="2"/>
  <c r="U59" i="2"/>
  <c r="V59" i="2"/>
  <c r="W59" i="2"/>
  <c r="U60" i="2"/>
  <c r="V60" i="2"/>
  <c r="W60" i="2"/>
  <c r="U61" i="2"/>
  <c r="V61" i="2"/>
  <c r="W61" i="2"/>
  <c r="U62" i="2"/>
  <c r="V62" i="2"/>
  <c r="W62" i="2"/>
  <c r="U63" i="2"/>
  <c r="V63" i="2"/>
  <c r="W63" i="2"/>
  <c r="U64" i="2"/>
  <c r="V64" i="2"/>
  <c r="W64" i="2"/>
  <c r="U65" i="2"/>
  <c r="V65" i="2"/>
  <c r="W65" i="2"/>
  <c r="U66" i="2"/>
  <c r="V66" i="2"/>
  <c r="W66" i="2"/>
  <c r="U67" i="2"/>
  <c r="V67" i="2"/>
  <c r="W67" i="2"/>
  <c r="U68" i="2"/>
  <c r="V68" i="2"/>
  <c r="W68" i="2"/>
  <c r="U69" i="2"/>
  <c r="V69" i="2"/>
  <c r="W69" i="2"/>
  <c r="U70" i="2"/>
  <c r="V70" i="2"/>
  <c r="W70" i="2"/>
  <c r="U71" i="2"/>
  <c r="V71" i="2"/>
  <c r="W71" i="2"/>
  <c r="U72" i="2"/>
  <c r="V72" i="2"/>
  <c r="W72" i="2"/>
  <c r="U73" i="2"/>
  <c r="V73" i="2"/>
  <c r="W73" i="2"/>
  <c r="U74" i="2"/>
  <c r="V74" i="2"/>
  <c r="W74" i="2"/>
  <c r="U75" i="2"/>
  <c r="V75" i="2"/>
  <c r="W75" i="2"/>
  <c r="U76" i="2"/>
  <c r="V76" i="2"/>
  <c r="W76" i="2"/>
  <c r="U77" i="2"/>
  <c r="V77" i="2"/>
  <c r="W77" i="2"/>
  <c r="U78" i="2"/>
  <c r="V78" i="2"/>
  <c r="W78" i="2"/>
  <c r="U79" i="2"/>
  <c r="V79" i="2"/>
  <c r="W79" i="2"/>
  <c r="U80" i="2"/>
  <c r="V80" i="2"/>
  <c r="W80" i="2"/>
  <c r="U81" i="2"/>
  <c r="V81" i="2"/>
  <c r="W81" i="2"/>
  <c r="U82" i="2"/>
  <c r="V82" i="2"/>
  <c r="W82" i="2"/>
  <c r="U83" i="2"/>
  <c r="V83" i="2"/>
  <c r="W83" i="2"/>
  <c r="U84" i="2"/>
  <c r="V84" i="2"/>
  <c r="W84" i="2"/>
  <c r="U85" i="2"/>
  <c r="V85" i="2"/>
  <c r="W85" i="2"/>
  <c r="U86" i="2"/>
  <c r="V86" i="2"/>
  <c r="W86" i="2"/>
  <c r="U87" i="2"/>
  <c r="V87" i="2"/>
  <c r="W87" i="2"/>
  <c r="U88" i="2"/>
  <c r="V88" i="2"/>
  <c r="W88" i="2"/>
  <c r="U89" i="2"/>
  <c r="V89" i="2"/>
  <c r="W89" i="2"/>
  <c r="U90" i="2"/>
  <c r="V90" i="2"/>
  <c r="W90" i="2"/>
  <c r="U91" i="2"/>
  <c r="V91" i="2"/>
  <c r="W91" i="2"/>
  <c r="U92" i="2"/>
  <c r="V92" i="2"/>
  <c r="W92" i="2"/>
  <c r="U93" i="2"/>
  <c r="V93" i="2"/>
  <c r="W93" i="2"/>
  <c r="U94" i="2"/>
  <c r="V94" i="2"/>
  <c r="W94" i="2"/>
  <c r="U95" i="2"/>
  <c r="V95" i="2"/>
  <c r="W95" i="2"/>
  <c r="U96" i="2"/>
  <c r="V96" i="2"/>
  <c r="W96" i="2"/>
  <c r="U97" i="2"/>
  <c r="V97" i="2"/>
  <c r="W97" i="2"/>
  <c r="U98" i="2"/>
  <c r="V98" i="2"/>
  <c r="W98" i="2"/>
  <c r="U99" i="2"/>
  <c r="V99" i="2"/>
  <c r="W99" i="2"/>
  <c r="U100" i="2"/>
  <c r="V100" i="2"/>
  <c r="W100" i="2"/>
  <c r="U101" i="2"/>
  <c r="V101" i="2"/>
  <c r="W101" i="2"/>
  <c r="U102" i="2"/>
  <c r="V102" i="2"/>
  <c r="W102" i="2"/>
  <c r="U103" i="2"/>
  <c r="V103" i="2"/>
  <c r="W103" i="2"/>
  <c r="U104" i="2"/>
  <c r="V104" i="2"/>
  <c r="W104" i="2"/>
  <c r="U105" i="2"/>
  <c r="V105" i="2"/>
  <c r="W105" i="2"/>
  <c r="U106" i="2"/>
  <c r="V106" i="2"/>
  <c r="W106" i="2"/>
  <c r="U107" i="2"/>
  <c r="V107" i="2"/>
  <c r="W107" i="2"/>
  <c r="U108" i="2"/>
  <c r="V108" i="2"/>
  <c r="W108" i="2"/>
  <c r="U109" i="2"/>
  <c r="V109" i="2"/>
  <c r="W109" i="2"/>
  <c r="U110" i="2"/>
  <c r="V110" i="2"/>
  <c r="W110" i="2"/>
  <c r="U111" i="2"/>
  <c r="V111" i="2"/>
  <c r="W111" i="2"/>
  <c r="U112" i="2"/>
  <c r="V112" i="2"/>
  <c r="W112" i="2"/>
  <c r="U113" i="2"/>
  <c r="V113" i="2"/>
  <c r="W113" i="2"/>
  <c r="U114" i="2"/>
  <c r="V114" i="2"/>
  <c r="W114" i="2"/>
  <c r="U115" i="2"/>
  <c r="V115" i="2"/>
  <c r="W115" i="2"/>
  <c r="U116" i="2"/>
  <c r="V116" i="2"/>
  <c r="W116" i="2"/>
  <c r="U117" i="2"/>
  <c r="V117" i="2"/>
  <c r="W117" i="2"/>
  <c r="U118" i="2"/>
  <c r="V118" i="2"/>
  <c r="W118" i="2"/>
  <c r="U119" i="2"/>
  <c r="V119" i="2"/>
  <c r="W119" i="2"/>
  <c r="U120" i="2"/>
  <c r="V120" i="2"/>
  <c r="W120" i="2"/>
  <c r="U121" i="2"/>
  <c r="V121" i="2"/>
  <c r="W121" i="2"/>
  <c r="U122" i="2"/>
  <c r="V122" i="2"/>
  <c r="W122" i="2"/>
  <c r="U123" i="2"/>
  <c r="V123" i="2"/>
  <c r="W123" i="2"/>
  <c r="U124" i="2"/>
  <c r="V124" i="2"/>
  <c r="W124" i="2"/>
  <c r="U125" i="2"/>
  <c r="V125" i="2"/>
  <c r="W125" i="2"/>
  <c r="U126" i="2"/>
  <c r="V126" i="2"/>
  <c r="W126" i="2"/>
  <c r="U127" i="2"/>
  <c r="V127" i="2"/>
  <c r="W127" i="2"/>
  <c r="U128" i="2"/>
  <c r="V128" i="2"/>
  <c r="W128" i="2"/>
  <c r="U129" i="2"/>
  <c r="V129" i="2"/>
  <c r="W129" i="2"/>
  <c r="U130" i="2"/>
  <c r="V130" i="2"/>
  <c r="W130" i="2"/>
  <c r="U131" i="2"/>
  <c r="V131" i="2"/>
  <c r="W131" i="2"/>
  <c r="U132" i="2"/>
  <c r="V132" i="2"/>
  <c r="W132" i="2"/>
  <c r="U133" i="2"/>
  <c r="V133" i="2"/>
  <c r="W133" i="2"/>
  <c r="U134" i="2"/>
  <c r="V134" i="2"/>
  <c r="W134" i="2"/>
  <c r="U135" i="2"/>
  <c r="V135" i="2"/>
  <c r="W135" i="2"/>
  <c r="U136" i="2"/>
  <c r="V136" i="2"/>
  <c r="W136" i="2"/>
  <c r="U137" i="2"/>
  <c r="V137" i="2"/>
  <c r="W137" i="2"/>
  <c r="U138" i="2"/>
  <c r="V138" i="2"/>
  <c r="W138" i="2"/>
  <c r="U139" i="2"/>
  <c r="V139" i="2"/>
  <c r="W139" i="2"/>
  <c r="U140" i="2"/>
  <c r="V140" i="2"/>
  <c r="W140" i="2"/>
  <c r="U141" i="2"/>
  <c r="V141" i="2"/>
  <c r="W141" i="2"/>
  <c r="U142" i="2"/>
  <c r="V142" i="2"/>
  <c r="W142" i="2"/>
  <c r="U143" i="2"/>
  <c r="V143" i="2"/>
  <c r="W143" i="2"/>
  <c r="U144" i="2"/>
  <c r="V144" i="2"/>
  <c r="W144" i="2"/>
  <c r="U145" i="2"/>
  <c r="V145" i="2"/>
  <c r="W145" i="2"/>
  <c r="U146" i="2"/>
  <c r="V146" i="2"/>
  <c r="W146" i="2"/>
  <c r="U147" i="2"/>
  <c r="V147" i="2"/>
  <c r="W147" i="2"/>
  <c r="U148" i="2"/>
  <c r="V148" i="2"/>
  <c r="W148" i="2"/>
  <c r="U149" i="2"/>
  <c r="V149" i="2"/>
  <c r="W149" i="2"/>
  <c r="U150" i="2"/>
  <c r="V150" i="2"/>
  <c r="W150" i="2"/>
  <c r="U151" i="2"/>
  <c r="V151" i="2"/>
  <c r="W151" i="2"/>
  <c r="U152" i="2"/>
  <c r="V152" i="2"/>
  <c r="W152" i="2"/>
  <c r="U153" i="2"/>
  <c r="V153" i="2"/>
  <c r="W153" i="2"/>
  <c r="U154" i="2"/>
  <c r="V154" i="2"/>
  <c r="W154" i="2"/>
  <c r="U155" i="2"/>
  <c r="V155" i="2"/>
  <c r="W155" i="2"/>
  <c r="U156" i="2"/>
  <c r="V156" i="2"/>
  <c r="W156" i="2"/>
  <c r="U157" i="2"/>
  <c r="V157" i="2"/>
  <c r="W157" i="2"/>
  <c r="U158" i="2"/>
  <c r="V158" i="2"/>
  <c r="W158" i="2"/>
  <c r="U159" i="2"/>
  <c r="V159" i="2"/>
  <c r="W159" i="2"/>
  <c r="U160" i="2"/>
  <c r="V160" i="2"/>
  <c r="W160" i="2"/>
  <c r="U161" i="2"/>
  <c r="V161" i="2"/>
  <c r="W161" i="2"/>
  <c r="U162" i="2"/>
  <c r="V162" i="2"/>
  <c r="W162" i="2"/>
  <c r="U163" i="2"/>
  <c r="V163" i="2"/>
  <c r="W163" i="2"/>
  <c r="U164" i="2"/>
  <c r="V164" i="2"/>
  <c r="W164" i="2"/>
  <c r="U165" i="2"/>
  <c r="V165" i="2"/>
  <c r="W165" i="2"/>
  <c r="U166" i="2"/>
  <c r="V166" i="2"/>
  <c r="W166" i="2"/>
  <c r="U167" i="2"/>
  <c r="V167" i="2"/>
  <c r="W167" i="2"/>
  <c r="U168" i="2"/>
  <c r="V168" i="2"/>
  <c r="W168" i="2"/>
  <c r="U169" i="2"/>
  <c r="V169" i="2"/>
  <c r="W169" i="2"/>
  <c r="U170" i="2"/>
  <c r="V170" i="2"/>
  <c r="W170" i="2"/>
  <c r="U171" i="2"/>
  <c r="V171" i="2"/>
  <c r="W171" i="2"/>
  <c r="U172" i="2"/>
  <c r="V172" i="2"/>
  <c r="W172" i="2"/>
  <c r="U173" i="2"/>
  <c r="V173" i="2"/>
  <c r="W173" i="2"/>
  <c r="U174" i="2"/>
  <c r="V174" i="2"/>
  <c r="W174" i="2"/>
  <c r="U175" i="2"/>
  <c r="V175" i="2"/>
  <c r="W175" i="2"/>
  <c r="U176" i="2"/>
  <c r="V176" i="2"/>
  <c r="W176" i="2"/>
  <c r="U177" i="2"/>
  <c r="V177" i="2"/>
  <c r="W177" i="2"/>
  <c r="U178" i="2"/>
  <c r="V178" i="2"/>
  <c r="W178" i="2"/>
  <c r="U179" i="2"/>
  <c r="V179" i="2"/>
  <c r="W179" i="2"/>
  <c r="U180" i="2"/>
  <c r="V180" i="2"/>
  <c r="W180" i="2"/>
  <c r="U181" i="2"/>
  <c r="V181" i="2"/>
  <c r="W181" i="2"/>
  <c r="U182" i="2"/>
  <c r="V182" i="2"/>
  <c r="W182" i="2"/>
  <c r="U183" i="2"/>
  <c r="V183" i="2"/>
  <c r="W183" i="2"/>
  <c r="U184" i="2"/>
  <c r="V184" i="2"/>
  <c r="W184" i="2"/>
  <c r="U185" i="2"/>
  <c r="V185" i="2"/>
  <c r="W185" i="2"/>
  <c r="U186" i="2"/>
  <c r="V186" i="2"/>
  <c r="W186" i="2"/>
  <c r="U187" i="2"/>
  <c r="V187" i="2"/>
  <c r="W187" i="2"/>
  <c r="U188" i="2"/>
  <c r="V188" i="2"/>
  <c r="W188" i="2"/>
  <c r="U189" i="2"/>
  <c r="V189" i="2"/>
  <c r="W189" i="2"/>
  <c r="U190" i="2"/>
  <c r="V190" i="2"/>
  <c r="W190" i="2"/>
  <c r="U191" i="2"/>
  <c r="V191" i="2"/>
  <c r="W191" i="2"/>
  <c r="U192" i="2"/>
  <c r="V192" i="2"/>
  <c r="W192" i="2"/>
  <c r="U193" i="2"/>
  <c r="V193" i="2"/>
  <c r="W193" i="2"/>
  <c r="U194" i="2"/>
  <c r="V194" i="2"/>
  <c r="W194" i="2"/>
  <c r="U195" i="2"/>
  <c r="V195" i="2"/>
  <c r="W195" i="2"/>
  <c r="U196" i="2"/>
  <c r="V196" i="2"/>
  <c r="W196" i="2"/>
  <c r="U197" i="2"/>
  <c r="V197" i="2"/>
  <c r="W197" i="2"/>
  <c r="U198" i="2"/>
  <c r="V198" i="2"/>
  <c r="W198" i="2"/>
  <c r="U199" i="2"/>
  <c r="V199" i="2"/>
  <c r="W199" i="2"/>
  <c r="U200" i="2"/>
  <c r="V200" i="2"/>
  <c r="W200" i="2"/>
  <c r="U201" i="2"/>
  <c r="V201" i="2"/>
  <c r="W201" i="2"/>
  <c r="U202" i="2"/>
  <c r="V202" i="2"/>
  <c r="W202" i="2"/>
  <c r="U203" i="2"/>
  <c r="V203" i="2"/>
  <c r="W203" i="2"/>
  <c r="U204" i="2"/>
  <c r="V204" i="2"/>
  <c r="W204" i="2"/>
  <c r="U205" i="2"/>
  <c r="V205" i="2"/>
  <c r="W205" i="2"/>
  <c r="U206" i="2"/>
  <c r="V206" i="2"/>
  <c r="W206" i="2"/>
  <c r="U207" i="2"/>
  <c r="V207" i="2"/>
  <c r="W207" i="2"/>
  <c r="U208" i="2"/>
  <c r="V208" i="2"/>
  <c r="W208" i="2"/>
  <c r="U209" i="2"/>
  <c r="V209" i="2"/>
  <c r="W209" i="2"/>
  <c r="U210" i="2"/>
  <c r="V210" i="2"/>
  <c r="W210" i="2"/>
  <c r="U211" i="2"/>
  <c r="V211" i="2"/>
  <c r="W211" i="2"/>
  <c r="U212" i="2"/>
  <c r="V212" i="2"/>
  <c r="W212" i="2"/>
  <c r="U213" i="2"/>
  <c r="V213" i="2"/>
  <c r="W213" i="2"/>
  <c r="U214" i="2"/>
  <c r="V214" i="2"/>
  <c r="W214" i="2"/>
  <c r="U215" i="2"/>
  <c r="V215" i="2"/>
  <c r="W215" i="2"/>
  <c r="U216" i="2"/>
  <c r="V216" i="2"/>
  <c r="W216" i="2"/>
  <c r="U217" i="2"/>
  <c r="V217" i="2"/>
  <c r="W217" i="2"/>
  <c r="U218" i="2"/>
  <c r="V218" i="2"/>
  <c r="W218" i="2"/>
  <c r="U219" i="2"/>
  <c r="V219" i="2"/>
  <c r="W219" i="2"/>
  <c r="U220" i="2"/>
  <c r="V220" i="2"/>
  <c r="W220" i="2"/>
  <c r="U221" i="2"/>
  <c r="V221" i="2"/>
  <c r="W221" i="2"/>
  <c r="U222" i="2"/>
  <c r="V222" i="2"/>
  <c r="W222" i="2"/>
  <c r="U223" i="2"/>
  <c r="V223" i="2"/>
  <c r="W223" i="2"/>
  <c r="U224" i="2"/>
  <c r="V224" i="2"/>
  <c r="W224" i="2"/>
  <c r="U225" i="2"/>
  <c r="V225" i="2"/>
  <c r="W225" i="2"/>
  <c r="U226" i="2"/>
  <c r="V226" i="2"/>
  <c r="W226" i="2"/>
  <c r="U227" i="2"/>
  <c r="V227" i="2"/>
  <c r="W227" i="2"/>
  <c r="U228" i="2"/>
  <c r="V228" i="2"/>
  <c r="W228" i="2"/>
  <c r="U229" i="2"/>
  <c r="V229" i="2"/>
  <c r="W229" i="2"/>
  <c r="U230" i="2"/>
  <c r="V230" i="2"/>
  <c r="W230" i="2"/>
  <c r="U231" i="2"/>
  <c r="V231" i="2"/>
  <c r="W231" i="2"/>
  <c r="U232" i="2"/>
  <c r="V232" i="2"/>
  <c r="W232" i="2"/>
  <c r="U233" i="2"/>
  <c r="V233" i="2"/>
  <c r="W233" i="2"/>
  <c r="U234" i="2"/>
  <c r="V234" i="2"/>
  <c r="W234" i="2"/>
  <c r="U235" i="2"/>
  <c r="V235" i="2"/>
  <c r="W235" i="2"/>
  <c r="U236" i="2"/>
  <c r="V236" i="2"/>
  <c r="W236" i="2"/>
  <c r="U237" i="2"/>
  <c r="V237" i="2"/>
  <c r="W237" i="2"/>
  <c r="U238" i="2"/>
  <c r="V238" i="2"/>
  <c r="W238" i="2"/>
  <c r="U239" i="2"/>
  <c r="V239" i="2"/>
  <c r="W239" i="2"/>
  <c r="U240" i="2"/>
  <c r="V240" i="2"/>
  <c r="W240" i="2"/>
  <c r="U241" i="2"/>
  <c r="V241" i="2"/>
  <c r="W241" i="2"/>
  <c r="U242" i="2"/>
  <c r="V242" i="2"/>
  <c r="W242" i="2"/>
  <c r="U243" i="2"/>
  <c r="V243" i="2"/>
  <c r="W243" i="2"/>
  <c r="U244" i="2"/>
  <c r="V244" i="2"/>
  <c r="W244" i="2"/>
  <c r="U245" i="2"/>
  <c r="V245" i="2"/>
  <c r="W245" i="2"/>
  <c r="U246" i="2"/>
  <c r="V246" i="2"/>
  <c r="W246" i="2"/>
  <c r="U247" i="2"/>
  <c r="V247" i="2"/>
  <c r="W247" i="2"/>
  <c r="U248" i="2"/>
  <c r="V248" i="2"/>
  <c r="W248" i="2"/>
  <c r="U249" i="2"/>
  <c r="V249" i="2"/>
  <c r="W249" i="2"/>
  <c r="U250" i="2"/>
  <c r="V250" i="2"/>
  <c r="W250" i="2"/>
  <c r="U251" i="2"/>
  <c r="V251" i="2"/>
  <c r="W251" i="2"/>
  <c r="U252" i="2"/>
  <c r="V252" i="2"/>
  <c r="W252" i="2"/>
  <c r="U253" i="2"/>
  <c r="V253" i="2"/>
  <c r="W253" i="2"/>
  <c r="U254" i="2"/>
  <c r="V254" i="2"/>
  <c r="W254" i="2"/>
  <c r="U255" i="2"/>
  <c r="V255" i="2"/>
  <c r="W255" i="2"/>
  <c r="U256" i="2"/>
  <c r="V256" i="2"/>
  <c r="W256" i="2"/>
  <c r="U257" i="2"/>
  <c r="V257" i="2"/>
  <c r="W257" i="2"/>
  <c r="U258" i="2"/>
  <c r="V258" i="2"/>
  <c r="W258" i="2"/>
  <c r="U259" i="2"/>
  <c r="V259" i="2"/>
  <c r="W259" i="2"/>
  <c r="U260" i="2"/>
  <c r="V260" i="2"/>
  <c r="W260" i="2"/>
  <c r="U261" i="2"/>
  <c r="V261" i="2"/>
  <c r="W261" i="2"/>
  <c r="U262" i="2"/>
  <c r="V262" i="2"/>
  <c r="W262" i="2"/>
  <c r="U263" i="2"/>
  <c r="V263" i="2"/>
  <c r="W263" i="2"/>
  <c r="U264" i="2"/>
  <c r="V264" i="2"/>
  <c r="W264" i="2"/>
  <c r="U265" i="2"/>
  <c r="V265" i="2"/>
  <c r="W265" i="2"/>
  <c r="U266" i="2"/>
  <c r="V266" i="2"/>
  <c r="W266" i="2"/>
  <c r="U267" i="2"/>
  <c r="V267" i="2"/>
  <c r="W267" i="2"/>
  <c r="U268" i="2"/>
  <c r="V268" i="2"/>
  <c r="W268" i="2"/>
  <c r="U269" i="2"/>
  <c r="V269" i="2"/>
  <c r="W269" i="2"/>
  <c r="U270" i="2"/>
  <c r="V270" i="2"/>
  <c r="W270" i="2"/>
  <c r="V5" i="2"/>
  <c r="W5" i="2"/>
  <c r="U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5" i="2"/>
  <c r="J6" i="2"/>
  <c r="K6" i="2"/>
  <c r="L6" i="2"/>
  <c r="J7" i="2"/>
  <c r="K7" i="2"/>
  <c r="L7" i="2"/>
  <c r="J8" i="2"/>
  <c r="K8" i="2"/>
  <c r="L8" i="2"/>
  <c r="J9" i="2"/>
  <c r="K9" i="2"/>
  <c r="L9" i="2"/>
  <c r="J10" i="2"/>
  <c r="K10" i="2"/>
  <c r="L10" i="2"/>
  <c r="J11" i="2"/>
  <c r="K11" i="2"/>
  <c r="L11" i="2"/>
  <c r="J12" i="2"/>
  <c r="K12" i="2"/>
  <c r="L12" i="2"/>
  <c r="J13" i="2"/>
  <c r="K13" i="2"/>
  <c r="L13" i="2"/>
  <c r="J14" i="2"/>
  <c r="K14" i="2"/>
  <c r="L14" i="2"/>
  <c r="J15" i="2"/>
  <c r="K15" i="2"/>
  <c r="L15" i="2"/>
  <c r="J16" i="2"/>
  <c r="K16" i="2"/>
  <c r="L16" i="2"/>
  <c r="J17" i="2"/>
  <c r="K17" i="2"/>
  <c r="L17" i="2"/>
  <c r="J18" i="2"/>
  <c r="K18" i="2"/>
  <c r="L18" i="2"/>
  <c r="J19" i="2"/>
  <c r="K19" i="2"/>
  <c r="L19" i="2"/>
  <c r="J20" i="2"/>
  <c r="K20" i="2"/>
  <c r="L20" i="2"/>
  <c r="J21" i="2"/>
  <c r="K21" i="2"/>
  <c r="L21" i="2"/>
  <c r="J22" i="2"/>
  <c r="K22" i="2"/>
  <c r="L22" i="2"/>
  <c r="J23" i="2"/>
  <c r="K23" i="2"/>
  <c r="L23" i="2"/>
  <c r="J24" i="2"/>
  <c r="K24" i="2"/>
  <c r="L24" i="2"/>
  <c r="J25" i="2"/>
  <c r="K25" i="2"/>
  <c r="L25" i="2"/>
  <c r="J26" i="2"/>
  <c r="K26" i="2"/>
  <c r="L26" i="2"/>
  <c r="J27" i="2"/>
  <c r="K27" i="2"/>
  <c r="L27" i="2"/>
  <c r="J28" i="2"/>
  <c r="K28" i="2"/>
  <c r="L28" i="2"/>
  <c r="J29" i="2"/>
  <c r="K29" i="2"/>
  <c r="L29" i="2"/>
  <c r="J30" i="2"/>
  <c r="K30" i="2"/>
  <c r="L30" i="2"/>
  <c r="J31" i="2"/>
  <c r="K31" i="2"/>
  <c r="L31" i="2"/>
  <c r="J32" i="2"/>
  <c r="K32" i="2"/>
  <c r="L32" i="2"/>
  <c r="J33" i="2"/>
  <c r="K33" i="2"/>
  <c r="L33" i="2"/>
  <c r="J34" i="2"/>
  <c r="K34" i="2"/>
  <c r="L34" i="2"/>
  <c r="J35" i="2"/>
  <c r="K35" i="2"/>
  <c r="L35" i="2"/>
  <c r="J36" i="2"/>
  <c r="K36" i="2"/>
  <c r="L36" i="2"/>
  <c r="J37" i="2"/>
  <c r="K37" i="2"/>
  <c r="L37" i="2"/>
  <c r="J38" i="2"/>
  <c r="K38" i="2"/>
  <c r="L38" i="2"/>
  <c r="J39" i="2"/>
  <c r="K39" i="2"/>
  <c r="L39" i="2"/>
  <c r="J40" i="2"/>
  <c r="K40" i="2"/>
  <c r="L40" i="2"/>
  <c r="J41" i="2"/>
  <c r="K41" i="2"/>
  <c r="L41" i="2"/>
  <c r="J42" i="2"/>
  <c r="K42" i="2"/>
  <c r="L42" i="2"/>
  <c r="J43" i="2"/>
  <c r="K43" i="2"/>
  <c r="L43" i="2"/>
  <c r="J44" i="2"/>
  <c r="K44" i="2"/>
  <c r="L44" i="2"/>
  <c r="J45" i="2"/>
  <c r="K45" i="2"/>
  <c r="L45" i="2"/>
  <c r="J46" i="2"/>
  <c r="K46" i="2"/>
  <c r="L46" i="2"/>
  <c r="J47" i="2"/>
  <c r="K47" i="2"/>
  <c r="L47" i="2"/>
  <c r="J48" i="2"/>
  <c r="K48" i="2"/>
  <c r="L48" i="2"/>
  <c r="J49" i="2"/>
  <c r="K49" i="2"/>
  <c r="L49" i="2"/>
  <c r="J50" i="2"/>
  <c r="K50" i="2"/>
  <c r="L50" i="2"/>
  <c r="J51" i="2"/>
  <c r="K51" i="2"/>
  <c r="L51" i="2"/>
  <c r="J52" i="2"/>
  <c r="K52" i="2"/>
  <c r="L52" i="2"/>
  <c r="J53" i="2"/>
  <c r="K53" i="2"/>
  <c r="L53" i="2"/>
  <c r="J54" i="2"/>
  <c r="K54" i="2"/>
  <c r="L54" i="2"/>
  <c r="J55" i="2"/>
  <c r="K55" i="2"/>
  <c r="L55" i="2"/>
  <c r="J56" i="2"/>
  <c r="K56" i="2"/>
  <c r="L56" i="2"/>
  <c r="J57" i="2"/>
  <c r="K57" i="2"/>
  <c r="L57" i="2"/>
  <c r="J58" i="2"/>
  <c r="K58" i="2"/>
  <c r="L58" i="2"/>
  <c r="J59" i="2"/>
  <c r="K59" i="2"/>
  <c r="L59" i="2"/>
  <c r="J60" i="2"/>
  <c r="K60" i="2"/>
  <c r="L60" i="2"/>
  <c r="J61" i="2"/>
  <c r="K61" i="2"/>
  <c r="L61" i="2"/>
  <c r="J62" i="2"/>
  <c r="K62" i="2"/>
  <c r="L62" i="2"/>
  <c r="J63" i="2"/>
  <c r="K63" i="2"/>
  <c r="L63" i="2"/>
  <c r="J64" i="2"/>
  <c r="K64" i="2"/>
  <c r="L64" i="2"/>
  <c r="J65" i="2"/>
  <c r="K65" i="2"/>
  <c r="L65" i="2"/>
  <c r="J66" i="2"/>
  <c r="K66" i="2"/>
  <c r="L66" i="2"/>
  <c r="J67" i="2"/>
  <c r="K67" i="2"/>
  <c r="L67" i="2"/>
  <c r="J68" i="2"/>
  <c r="K68" i="2"/>
  <c r="L68" i="2"/>
  <c r="J69" i="2"/>
  <c r="K69" i="2"/>
  <c r="L69" i="2"/>
  <c r="J70" i="2"/>
  <c r="K70" i="2"/>
  <c r="L70" i="2"/>
  <c r="J71" i="2"/>
  <c r="K71" i="2"/>
  <c r="L71" i="2"/>
  <c r="J72" i="2"/>
  <c r="K72" i="2"/>
  <c r="L72" i="2"/>
  <c r="J73" i="2"/>
  <c r="K73" i="2"/>
  <c r="L73" i="2"/>
  <c r="J74" i="2"/>
  <c r="K74" i="2"/>
  <c r="L74" i="2"/>
  <c r="J75" i="2"/>
  <c r="K75" i="2"/>
  <c r="L75" i="2"/>
  <c r="J76" i="2"/>
  <c r="K76" i="2"/>
  <c r="L76" i="2"/>
  <c r="J77" i="2"/>
  <c r="K77" i="2"/>
  <c r="L77" i="2"/>
  <c r="J78" i="2"/>
  <c r="K78" i="2"/>
  <c r="L78" i="2"/>
  <c r="J79" i="2"/>
  <c r="K79" i="2"/>
  <c r="L79" i="2"/>
  <c r="J80" i="2"/>
  <c r="K80" i="2"/>
  <c r="L80" i="2"/>
  <c r="J81" i="2"/>
  <c r="K81" i="2"/>
  <c r="L81" i="2"/>
  <c r="J82" i="2"/>
  <c r="K82" i="2"/>
  <c r="L82" i="2"/>
  <c r="J83" i="2"/>
  <c r="K83" i="2"/>
  <c r="L83" i="2"/>
  <c r="J84" i="2"/>
  <c r="K84" i="2"/>
  <c r="L84" i="2"/>
  <c r="J85" i="2"/>
  <c r="K85" i="2"/>
  <c r="L85" i="2"/>
  <c r="J86" i="2"/>
  <c r="K86" i="2"/>
  <c r="L86" i="2"/>
  <c r="J87" i="2"/>
  <c r="K87" i="2"/>
  <c r="L87" i="2"/>
  <c r="J88" i="2"/>
  <c r="K88" i="2"/>
  <c r="L88" i="2"/>
  <c r="J89" i="2"/>
  <c r="K89" i="2"/>
  <c r="L89" i="2"/>
  <c r="J90" i="2"/>
  <c r="K90" i="2"/>
  <c r="L90" i="2"/>
  <c r="J91" i="2"/>
  <c r="K91" i="2"/>
  <c r="L91" i="2"/>
  <c r="J92" i="2"/>
  <c r="K92" i="2"/>
  <c r="L92" i="2"/>
  <c r="J93" i="2"/>
  <c r="K93" i="2"/>
  <c r="L93" i="2"/>
  <c r="J94" i="2"/>
  <c r="K94" i="2"/>
  <c r="L94" i="2"/>
  <c r="J95" i="2"/>
  <c r="K95" i="2"/>
  <c r="L95" i="2"/>
  <c r="J96" i="2"/>
  <c r="K96" i="2"/>
  <c r="L96" i="2"/>
  <c r="J97" i="2"/>
  <c r="K97" i="2"/>
  <c r="L97" i="2"/>
  <c r="J98" i="2"/>
  <c r="K98" i="2"/>
  <c r="L98" i="2"/>
  <c r="J99" i="2"/>
  <c r="K99" i="2"/>
  <c r="L99" i="2"/>
  <c r="J100" i="2"/>
  <c r="K100" i="2"/>
  <c r="L100" i="2"/>
  <c r="J101" i="2"/>
  <c r="K101" i="2"/>
  <c r="L101" i="2"/>
  <c r="J102" i="2"/>
  <c r="K102" i="2"/>
  <c r="L102" i="2"/>
  <c r="J103" i="2"/>
  <c r="K103" i="2"/>
  <c r="L103" i="2"/>
  <c r="J104" i="2"/>
  <c r="K104" i="2"/>
  <c r="L104" i="2"/>
  <c r="J105" i="2"/>
  <c r="K105" i="2"/>
  <c r="L105" i="2"/>
  <c r="J106" i="2"/>
  <c r="K106" i="2"/>
  <c r="L106" i="2"/>
  <c r="J107" i="2"/>
  <c r="K107" i="2"/>
  <c r="L107" i="2"/>
  <c r="J108" i="2"/>
  <c r="K108" i="2"/>
  <c r="L108" i="2"/>
  <c r="J109" i="2"/>
  <c r="K109" i="2"/>
  <c r="L109" i="2"/>
  <c r="J110" i="2"/>
  <c r="K110" i="2"/>
  <c r="L110" i="2"/>
  <c r="J111" i="2"/>
  <c r="K111" i="2"/>
  <c r="L111" i="2"/>
  <c r="J112" i="2"/>
  <c r="K112" i="2"/>
  <c r="L112" i="2"/>
  <c r="J113" i="2"/>
  <c r="K113" i="2"/>
  <c r="L113" i="2"/>
  <c r="J114" i="2"/>
  <c r="K114" i="2"/>
  <c r="L114" i="2"/>
  <c r="J115" i="2"/>
  <c r="K115" i="2"/>
  <c r="L115" i="2"/>
  <c r="J116" i="2"/>
  <c r="K116" i="2"/>
  <c r="L116" i="2"/>
  <c r="J117" i="2"/>
  <c r="K117" i="2"/>
  <c r="L117" i="2"/>
  <c r="J118" i="2"/>
  <c r="K118" i="2"/>
  <c r="L118" i="2"/>
  <c r="J119" i="2"/>
  <c r="K119" i="2"/>
  <c r="L119" i="2"/>
  <c r="J120" i="2"/>
  <c r="K120" i="2"/>
  <c r="L120" i="2"/>
  <c r="J121" i="2"/>
  <c r="K121" i="2"/>
  <c r="L121" i="2"/>
  <c r="J122" i="2"/>
  <c r="K122" i="2"/>
  <c r="L122" i="2"/>
  <c r="J123" i="2"/>
  <c r="K123" i="2"/>
  <c r="L123" i="2"/>
  <c r="J124" i="2"/>
  <c r="K124" i="2"/>
  <c r="L124" i="2"/>
  <c r="J125" i="2"/>
  <c r="K125" i="2"/>
  <c r="L125" i="2"/>
  <c r="J126" i="2"/>
  <c r="K126" i="2"/>
  <c r="L126" i="2"/>
  <c r="J127" i="2"/>
  <c r="K127" i="2"/>
  <c r="L127" i="2"/>
  <c r="J128" i="2"/>
  <c r="K128" i="2"/>
  <c r="L128" i="2"/>
  <c r="J129" i="2"/>
  <c r="K129" i="2"/>
  <c r="L129" i="2"/>
  <c r="J130" i="2"/>
  <c r="K130" i="2"/>
  <c r="L130" i="2"/>
  <c r="J131" i="2"/>
  <c r="K131" i="2"/>
  <c r="L131" i="2"/>
  <c r="J132" i="2"/>
  <c r="K132" i="2"/>
  <c r="L132" i="2"/>
  <c r="J133" i="2"/>
  <c r="K133" i="2"/>
  <c r="L133" i="2"/>
  <c r="J134" i="2"/>
  <c r="K134" i="2"/>
  <c r="L134" i="2"/>
  <c r="J135" i="2"/>
  <c r="K135" i="2"/>
  <c r="L135" i="2"/>
  <c r="J136" i="2"/>
  <c r="K136" i="2"/>
  <c r="L136" i="2"/>
  <c r="J137" i="2"/>
  <c r="K137" i="2"/>
  <c r="L137" i="2"/>
  <c r="J138" i="2"/>
  <c r="K138" i="2"/>
  <c r="L138" i="2"/>
  <c r="J139" i="2"/>
  <c r="K139" i="2"/>
  <c r="L139" i="2"/>
  <c r="J140" i="2"/>
  <c r="K140" i="2"/>
  <c r="L140" i="2"/>
  <c r="J141" i="2"/>
  <c r="K141" i="2"/>
  <c r="L141" i="2"/>
  <c r="J142" i="2"/>
  <c r="K142" i="2"/>
  <c r="L142" i="2"/>
  <c r="J143" i="2"/>
  <c r="K143" i="2"/>
  <c r="L143" i="2"/>
  <c r="J144" i="2"/>
  <c r="K144" i="2"/>
  <c r="L144" i="2"/>
  <c r="J145" i="2"/>
  <c r="K145" i="2"/>
  <c r="L145" i="2"/>
  <c r="J146" i="2"/>
  <c r="K146" i="2"/>
  <c r="L146" i="2"/>
  <c r="J147" i="2"/>
  <c r="K147" i="2"/>
  <c r="L147" i="2"/>
  <c r="J148" i="2"/>
  <c r="K148" i="2"/>
  <c r="L148" i="2"/>
  <c r="J149" i="2"/>
  <c r="K149" i="2"/>
  <c r="L149" i="2"/>
  <c r="J150" i="2"/>
  <c r="K150" i="2"/>
  <c r="L150" i="2"/>
  <c r="J151" i="2"/>
  <c r="K151" i="2"/>
  <c r="L151" i="2"/>
  <c r="J152" i="2"/>
  <c r="K152" i="2"/>
  <c r="L152" i="2"/>
  <c r="J153" i="2"/>
  <c r="K153" i="2"/>
  <c r="L153" i="2"/>
  <c r="J154" i="2"/>
  <c r="K154" i="2"/>
  <c r="L154" i="2"/>
  <c r="J155" i="2"/>
  <c r="K155" i="2"/>
  <c r="L155" i="2"/>
  <c r="J156" i="2"/>
  <c r="K156" i="2"/>
  <c r="L156" i="2"/>
  <c r="J157" i="2"/>
  <c r="K157" i="2"/>
  <c r="L157" i="2"/>
  <c r="J158" i="2"/>
  <c r="K158" i="2"/>
  <c r="L158" i="2"/>
  <c r="J159" i="2"/>
  <c r="K159" i="2"/>
  <c r="L159" i="2"/>
  <c r="J160" i="2"/>
  <c r="K160" i="2"/>
  <c r="L160" i="2"/>
  <c r="J161" i="2"/>
  <c r="K161" i="2"/>
  <c r="L161" i="2"/>
  <c r="J162" i="2"/>
  <c r="K162" i="2"/>
  <c r="L162" i="2"/>
  <c r="J163" i="2"/>
  <c r="K163" i="2"/>
  <c r="L163" i="2"/>
  <c r="J164" i="2"/>
  <c r="K164" i="2"/>
  <c r="L164" i="2"/>
  <c r="J165" i="2"/>
  <c r="K165" i="2"/>
  <c r="L165" i="2"/>
  <c r="J166" i="2"/>
  <c r="K166" i="2"/>
  <c r="L166" i="2"/>
  <c r="J167" i="2"/>
  <c r="K167" i="2"/>
  <c r="L167" i="2"/>
  <c r="J168" i="2"/>
  <c r="K168" i="2"/>
  <c r="L168" i="2"/>
  <c r="J169" i="2"/>
  <c r="K169" i="2"/>
  <c r="L169" i="2"/>
  <c r="J170" i="2"/>
  <c r="K170" i="2"/>
  <c r="L170" i="2"/>
  <c r="J171" i="2"/>
  <c r="K171" i="2"/>
  <c r="L171" i="2"/>
  <c r="J172" i="2"/>
  <c r="K172" i="2"/>
  <c r="L172" i="2"/>
  <c r="J173" i="2"/>
  <c r="K173" i="2"/>
  <c r="L173" i="2"/>
  <c r="J174" i="2"/>
  <c r="K174" i="2"/>
  <c r="L174" i="2"/>
  <c r="J175" i="2"/>
  <c r="K175" i="2"/>
  <c r="L175" i="2"/>
  <c r="J176" i="2"/>
  <c r="K176" i="2"/>
  <c r="L176" i="2"/>
  <c r="J177" i="2"/>
  <c r="K177" i="2"/>
  <c r="L177" i="2"/>
  <c r="J178" i="2"/>
  <c r="K178" i="2"/>
  <c r="L178" i="2"/>
  <c r="J179" i="2"/>
  <c r="K179" i="2"/>
  <c r="L179" i="2"/>
  <c r="J180" i="2"/>
  <c r="K180" i="2"/>
  <c r="L180" i="2"/>
  <c r="J181" i="2"/>
  <c r="K181" i="2"/>
  <c r="L181" i="2"/>
  <c r="J182" i="2"/>
  <c r="K182" i="2"/>
  <c r="L182" i="2"/>
  <c r="J183" i="2"/>
  <c r="K183" i="2"/>
  <c r="L183" i="2"/>
  <c r="J184" i="2"/>
  <c r="K184" i="2"/>
  <c r="L184" i="2"/>
  <c r="J185" i="2"/>
  <c r="K185" i="2"/>
  <c r="L185" i="2"/>
  <c r="J186" i="2"/>
  <c r="K186" i="2"/>
  <c r="L186" i="2"/>
  <c r="J187" i="2"/>
  <c r="K187" i="2"/>
  <c r="L187" i="2"/>
  <c r="J188" i="2"/>
  <c r="K188" i="2"/>
  <c r="L188" i="2"/>
  <c r="J189" i="2"/>
  <c r="K189" i="2"/>
  <c r="L189" i="2"/>
  <c r="J190" i="2"/>
  <c r="K190" i="2"/>
  <c r="L190" i="2"/>
  <c r="J191" i="2"/>
  <c r="K191" i="2"/>
  <c r="L191" i="2"/>
  <c r="J192" i="2"/>
  <c r="K192" i="2"/>
  <c r="L192" i="2"/>
  <c r="J193" i="2"/>
  <c r="K193" i="2"/>
  <c r="L193" i="2"/>
  <c r="J194" i="2"/>
  <c r="K194" i="2"/>
  <c r="L194" i="2"/>
  <c r="J195" i="2"/>
  <c r="K195" i="2"/>
  <c r="L195" i="2"/>
  <c r="J196" i="2"/>
  <c r="K196" i="2"/>
  <c r="L196" i="2"/>
  <c r="J197" i="2"/>
  <c r="K197" i="2"/>
  <c r="L197" i="2"/>
  <c r="J198" i="2"/>
  <c r="K198" i="2"/>
  <c r="L198" i="2"/>
  <c r="J199" i="2"/>
  <c r="K199" i="2"/>
  <c r="L199" i="2"/>
  <c r="J200" i="2"/>
  <c r="K200" i="2"/>
  <c r="L200" i="2"/>
  <c r="J201" i="2"/>
  <c r="K201" i="2"/>
  <c r="L201" i="2"/>
  <c r="J202" i="2"/>
  <c r="K202" i="2"/>
  <c r="L202" i="2"/>
  <c r="J203" i="2"/>
  <c r="K203" i="2"/>
  <c r="L203" i="2"/>
  <c r="J204" i="2"/>
  <c r="K204" i="2"/>
  <c r="L204" i="2"/>
  <c r="J205" i="2"/>
  <c r="K205" i="2"/>
  <c r="L205" i="2"/>
  <c r="J206" i="2"/>
  <c r="K206" i="2"/>
  <c r="L206" i="2"/>
  <c r="J207" i="2"/>
  <c r="K207" i="2"/>
  <c r="L207" i="2"/>
  <c r="J208" i="2"/>
  <c r="K208" i="2"/>
  <c r="L208" i="2"/>
  <c r="J209" i="2"/>
  <c r="K209" i="2"/>
  <c r="L209" i="2"/>
  <c r="J210" i="2"/>
  <c r="K210" i="2"/>
  <c r="L210" i="2"/>
  <c r="J211" i="2"/>
  <c r="K211" i="2"/>
  <c r="L211" i="2"/>
  <c r="J212" i="2"/>
  <c r="K212" i="2"/>
  <c r="L212" i="2"/>
  <c r="J213" i="2"/>
  <c r="K213" i="2"/>
  <c r="L213" i="2"/>
  <c r="J214" i="2"/>
  <c r="K214" i="2"/>
  <c r="L214" i="2"/>
  <c r="J215" i="2"/>
  <c r="K215" i="2"/>
  <c r="L215" i="2"/>
  <c r="J216" i="2"/>
  <c r="K216" i="2"/>
  <c r="L216" i="2"/>
  <c r="J217" i="2"/>
  <c r="K217" i="2"/>
  <c r="L217" i="2"/>
  <c r="J218" i="2"/>
  <c r="K218" i="2"/>
  <c r="L218" i="2"/>
  <c r="J219" i="2"/>
  <c r="K219" i="2"/>
  <c r="L219" i="2"/>
  <c r="J220" i="2"/>
  <c r="K220" i="2"/>
  <c r="L220" i="2"/>
  <c r="J221" i="2"/>
  <c r="K221" i="2"/>
  <c r="L221" i="2"/>
  <c r="J222" i="2"/>
  <c r="K222" i="2"/>
  <c r="L222" i="2"/>
  <c r="J223" i="2"/>
  <c r="K223" i="2"/>
  <c r="L223" i="2"/>
  <c r="J224" i="2"/>
  <c r="K224" i="2"/>
  <c r="L224" i="2"/>
  <c r="J225" i="2"/>
  <c r="K225" i="2"/>
  <c r="L225" i="2"/>
  <c r="J226" i="2"/>
  <c r="K226" i="2"/>
  <c r="L226" i="2"/>
  <c r="J227" i="2"/>
  <c r="K227" i="2"/>
  <c r="L227" i="2"/>
  <c r="J228" i="2"/>
  <c r="K228" i="2"/>
  <c r="L228" i="2"/>
  <c r="J229" i="2"/>
  <c r="K229" i="2"/>
  <c r="L229" i="2"/>
  <c r="J230" i="2"/>
  <c r="K230" i="2"/>
  <c r="L230" i="2"/>
  <c r="J231" i="2"/>
  <c r="K231" i="2"/>
  <c r="L231" i="2"/>
  <c r="J232" i="2"/>
  <c r="K232" i="2"/>
  <c r="L232" i="2"/>
  <c r="J233" i="2"/>
  <c r="K233" i="2"/>
  <c r="L233" i="2"/>
  <c r="J234" i="2"/>
  <c r="K234" i="2"/>
  <c r="L234" i="2"/>
  <c r="J235" i="2"/>
  <c r="K235" i="2"/>
  <c r="L235" i="2"/>
  <c r="J236" i="2"/>
  <c r="K236" i="2"/>
  <c r="L236" i="2"/>
  <c r="J237" i="2"/>
  <c r="K237" i="2"/>
  <c r="L237" i="2"/>
  <c r="J238" i="2"/>
  <c r="K238" i="2"/>
  <c r="L238" i="2"/>
  <c r="J239" i="2"/>
  <c r="K239" i="2"/>
  <c r="L239" i="2"/>
  <c r="J240" i="2"/>
  <c r="K240" i="2"/>
  <c r="L240" i="2"/>
  <c r="J241" i="2"/>
  <c r="K241" i="2"/>
  <c r="L241" i="2"/>
  <c r="J242" i="2"/>
  <c r="K242" i="2"/>
  <c r="L242" i="2"/>
  <c r="J243" i="2"/>
  <c r="K243" i="2"/>
  <c r="L243" i="2"/>
  <c r="J244" i="2"/>
  <c r="K244" i="2"/>
  <c r="L244" i="2"/>
  <c r="J245" i="2"/>
  <c r="K245" i="2"/>
  <c r="L245" i="2"/>
  <c r="J246" i="2"/>
  <c r="K246" i="2"/>
  <c r="L246" i="2"/>
  <c r="J247" i="2"/>
  <c r="K247" i="2"/>
  <c r="L247" i="2"/>
  <c r="J248" i="2"/>
  <c r="K248" i="2"/>
  <c r="L248" i="2"/>
  <c r="J249" i="2"/>
  <c r="K249" i="2"/>
  <c r="L249" i="2"/>
  <c r="J250" i="2"/>
  <c r="K250" i="2"/>
  <c r="L250" i="2"/>
  <c r="J251" i="2"/>
  <c r="K251" i="2"/>
  <c r="L251" i="2"/>
  <c r="J252" i="2"/>
  <c r="K252" i="2"/>
  <c r="L252" i="2"/>
  <c r="J253" i="2"/>
  <c r="K253" i="2"/>
  <c r="L253" i="2"/>
  <c r="J254" i="2"/>
  <c r="K254" i="2"/>
  <c r="L254" i="2"/>
  <c r="J255" i="2"/>
  <c r="K255" i="2"/>
  <c r="L255" i="2"/>
  <c r="J256" i="2"/>
  <c r="K256" i="2"/>
  <c r="L256" i="2"/>
  <c r="J257" i="2"/>
  <c r="K257" i="2"/>
  <c r="L257" i="2"/>
  <c r="J258" i="2"/>
  <c r="K258" i="2"/>
  <c r="L258" i="2"/>
  <c r="J259" i="2"/>
  <c r="K259" i="2"/>
  <c r="L259" i="2"/>
  <c r="J260" i="2"/>
  <c r="K260" i="2"/>
  <c r="L260" i="2"/>
  <c r="J261" i="2"/>
  <c r="K261" i="2"/>
  <c r="L261" i="2"/>
  <c r="J262" i="2"/>
  <c r="K262" i="2"/>
  <c r="L262" i="2"/>
  <c r="J263" i="2"/>
  <c r="K263" i="2"/>
  <c r="L263" i="2"/>
  <c r="J264" i="2"/>
  <c r="K264" i="2"/>
  <c r="L264" i="2"/>
  <c r="J265" i="2"/>
  <c r="K265" i="2"/>
  <c r="L265" i="2"/>
  <c r="J266" i="2"/>
  <c r="K266" i="2"/>
  <c r="L266" i="2"/>
  <c r="J267" i="2"/>
  <c r="K267" i="2"/>
  <c r="L267" i="2"/>
  <c r="J268" i="2"/>
  <c r="K268" i="2"/>
  <c r="L268" i="2"/>
  <c r="J269" i="2"/>
  <c r="K269" i="2"/>
  <c r="L269" i="2"/>
  <c r="J270" i="2"/>
  <c r="K270" i="2"/>
  <c r="L270" i="2"/>
  <c r="K5" i="2"/>
  <c r="L5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5" i="2"/>
  <c r="M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</calcChain>
</file>

<file path=xl/sharedStrings.xml><?xml version="1.0" encoding="utf-8"?>
<sst xmlns="http://schemas.openxmlformats.org/spreadsheetml/2006/main" count="1653" uniqueCount="430">
  <si>
    <t>No.</t>
  </si>
  <si>
    <t>UA_Name</t>
  </si>
  <si>
    <t>UA_Country</t>
  </si>
  <si>
    <t>UA_Continent</t>
  </si>
  <si>
    <t>Birmingham</t>
  </si>
  <si>
    <t xml:space="preserve"> Alabama</t>
  </si>
  <si>
    <t>North America</t>
  </si>
  <si>
    <t>Anchorage</t>
  </si>
  <si>
    <t xml:space="preserve"> Alaska</t>
  </si>
  <si>
    <t>Buenos Aires</t>
  </si>
  <si>
    <t xml:space="preserve"> Argentina</t>
  </si>
  <si>
    <t>South America</t>
  </si>
  <si>
    <t>Phoenix</t>
  </si>
  <si>
    <t xml:space="preserve"> Arizona</t>
  </si>
  <si>
    <t>Yerevan</t>
  </si>
  <si>
    <t xml:space="preserve"> Armenia</t>
  </si>
  <si>
    <t>Asia</t>
  </si>
  <si>
    <t>Adelaide</t>
  </si>
  <si>
    <t xml:space="preserve"> Australia</t>
  </si>
  <si>
    <t>Oceania</t>
  </si>
  <si>
    <t>Brisbane</t>
  </si>
  <si>
    <t>Melbourne</t>
  </si>
  <si>
    <t>Perth</t>
  </si>
  <si>
    <t>Sydney</t>
  </si>
  <si>
    <t>Innsbruck</t>
  </si>
  <si>
    <t xml:space="preserve"> Austria</t>
  </si>
  <si>
    <t>Europe</t>
  </si>
  <si>
    <t>Vienna</t>
  </si>
  <si>
    <t>Baku</t>
  </si>
  <si>
    <t xml:space="preserve"> Azerbaijan</t>
  </si>
  <si>
    <t>Minsk</t>
  </si>
  <si>
    <t xml:space="preserve"> Belarus</t>
  </si>
  <si>
    <t>Brussels</t>
  </si>
  <si>
    <t xml:space="preserve"> Belgium</t>
  </si>
  <si>
    <t>Belize City</t>
  </si>
  <si>
    <t xml:space="preserve"> Belize</t>
  </si>
  <si>
    <t>La Paz</t>
  </si>
  <si>
    <t xml:space="preserve"> Bolivia</t>
  </si>
  <si>
    <t>Sarajevo</t>
  </si>
  <si>
    <t xml:space="preserve"> Bosnia and Herzegovina</t>
  </si>
  <si>
    <t>Curitiba</t>
  </si>
  <si>
    <t xml:space="preserve"> Brazil</t>
  </si>
  <si>
    <t>Florianopolis</t>
  </si>
  <si>
    <t>Porto Alegre</t>
  </si>
  <si>
    <t>Rio De Janeiro</t>
  </si>
  <si>
    <t>Sao Paulo</t>
  </si>
  <si>
    <t>Sofia</t>
  </si>
  <si>
    <t xml:space="preserve"> Bulgaria</t>
  </si>
  <si>
    <t>Los Angeles</t>
  </si>
  <si>
    <t xml:space="preserve"> California</t>
  </si>
  <si>
    <t>Palo Alto</t>
  </si>
  <si>
    <t>San Diego</t>
  </si>
  <si>
    <t>San Francisco Bay Area</t>
  </si>
  <si>
    <t>San Luis Obispo</t>
  </si>
  <si>
    <t>Phnom Penh</t>
  </si>
  <si>
    <t xml:space="preserve"> Cambodia</t>
  </si>
  <si>
    <t>Quebec</t>
  </si>
  <si>
    <t xml:space="preserve"> Canada</t>
  </si>
  <si>
    <t>Calgary</t>
  </si>
  <si>
    <t>Edmonton</t>
  </si>
  <si>
    <t>Halifax</t>
  </si>
  <si>
    <t>Montreal</t>
  </si>
  <si>
    <t>Ottawa</t>
  </si>
  <si>
    <t>Saskatoon</t>
  </si>
  <si>
    <t>Toronto</t>
  </si>
  <si>
    <t>Vancouver</t>
  </si>
  <si>
    <t>Victoria</t>
  </si>
  <si>
    <t>Winnipeg</t>
  </si>
  <si>
    <t>Santiago</t>
  </si>
  <si>
    <t xml:space="preserve"> Chile</t>
  </si>
  <si>
    <t>Beijing</t>
  </si>
  <si>
    <t xml:space="preserve"> China</t>
  </si>
  <si>
    <t>Shanghai</t>
  </si>
  <si>
    <t>Bogota</t>
  </si>
  <si>
    <t xml:space="preserve"> Colombia</t>
  </si>
  <si>
    <t>Medellin</t>
  </si>
  <si>
    <t>Boulder</t>
  </si>
  <si>
    <t xml:space="preserve"> Colorado</t>
  </si>
  <si>
    <t>Colorado Springs</t>
  </si>
  <si>
    <t>Denver</t>
  </si>
  <si>
    <t>Fort Collins</t>
  </si>
  <si>
    <t>San Jose</t>
  </si>
  <si>
    <t xml:space="preserve"> Costa Rica</t>
  </si>
  <si>
    <t>Zagreb</t>
  </si>
  <si>
    <t xml:space="preserve"> Croatia</t>
  </si>
  <si>
    <t>Havana</t>
  </si>
  <si>
    <t xml:space="preserve"> Cuba</t>
  </si>
  <si>
    <t>Nicosia</t>
  </si>
  <si>
    <t xml:space="preserve"> Cyprus</t>
  </si>
  <si>
    <t>Brno</t>
  </si>
  <si>
    <t xml:space="preserve"> Czechia</t>
  </si>
  <si>
    <t>Prague</t>
  </si>
  <si>
    <t>Aarhus</t>
  </si>
  <si>
    <t xml:space="preserve"> Denmark</t>
  </si>
  <si>
    <t>Copenhagen</t>
  </si>
  <si>
    <t>Washington</t>
  </si>
  <si>
    <t xml:space="preserve"> District of Columbia</t>
  </si>
  <si>
    <t>Santo Domingo</t>
  </si>
  <si>
    <t xml:space="preserve"> Dominican Republic</t>
  </si>
  <si>
    <t>Quito</t>
  </si>
  <si>
    <t xml:space="preserve"> Ecuador</t>
  </si>
  <si>
    <t>Cairo</t>
  </si>
  <si>
    <t xml:space="preserve"> Egypt</t>
  </si>
  <si>
    <t>Africa</t>
  </si>
  <si>
    <t>San Salvador</t>
  </si>
  <si>
    <t xml:space="preserve"> El Salvador</t>
  </si>
  <si>
    <t>Tallinn</t>
  </si>
  <si>
    <t xml:space="preserve"> Estonia</t>
  </si>
  <si>
    <t>Tartu</t>
  </si>
  <si>
    <t>Helsinki</t>
  </si>
  <si>
    <t xml:space="preserve"> Finland</t>
  </si>
  <si>
    <t>Oulu</t>
  </si>
  <si>
    <t>Tampere</t>
  </si>
  <si>
    <t>Turku</t>
  </si>
  <si>
    <t>Jacksonville</t>
  </si>
  <si>
    <t xml:space="preserve"> Florida</t>
  </si>
  <si>
    <t>Miami</t>
  </si>
  <si>
    <t>Orlando</t>
  </si>
  <si>
    <t>Tampa Bay Area</t>
  </si>
  <si>
    <t>Bordeaux</t>
  </si>
  <si>
    <t xml:space="preserve"> France</t>
  </si>
  <si>
    <t>Grenoble</t>
  </si>
  <si>
    <t>Lille</t>
  </si>
  <si>
    <t>Lyon</t>
  </si>
  <si>
    <t>Marseille</t>
  </si>
  <si>
    <t>Nantes</t>
  </si>
  <si>
    <t>Nice</t>
  </si>
  <si>
    <t>Paris</t>
  </si>
  <si>
    <t>Toulouse</t>
  </si>
  <si>
    <t>Tbilisi</t>
  </si>
  <si>
    <t xml:space="preserve"> Georgia</t>
  </si>
  <si>
    <t>Atlanta</t>
  </si>
  <si>
    <t>Berlin</t>
  </si>
  <si>
    <t xml:space="preserve"> Germany</t>
  </si>
  <si>
    <t>Cologne</t>
  </si>
  <si>
    <t>Dresden</t>
  </si>
  <si>
    <t>Dusseldorf</t>
  </si>
  <si>
    <t>Frankfurt</t>
  </si>
  <si>
    <t>Hamburg</t>
  </si>
  <si>
    <t>Hannover</t>
  </si>
  <si>
    <t>Karlsruhe</t>
  </si>
  <si>
    <t>Leipzig</t>
  </si>
  <si>
    <t>Munich</t>
  </si>
  <si>
    <t>Stuttgart</t>
  </si>
  <si>
    <t>Gibraltar</t>
  </si>
  <si>
    <t xml:space="preserve"> Gibraltar</t>
  </si>
  <si>
    <t>Athens</t>
  </si>
  <si>
    <t xml:space="preserve"> Greece</t>
  </si>
  <si>
    <t>Thessaloniki</t>
  </si>
  <si>
    <t>Guatemala City</t>
  </si>
  <si>
    <t xml:space="preserve"> Guatemala</t>
  </si>
  <si>
    <t>Honolulu</t>
  </si>
  <si>
    <t xml:space="preserve"> Hawaii</t>
  </si>
  <si>
    <t>Hong Kong</t>
  </si>
  <si>
    <t xml:space="preserve"> Hong Kong</t>
  </si>
  <si>
    <t>Budapest</t>
  </si>
  <si>
    <t xml:space="preserve"> Hungary</t>
  </si>
  <si>
    <t>Reykjavik</t>
  </si>
  <si>
    <t xml:space="preserve"> Iceland</t>
  </si>
  <si>
    <t>Boise</t>
  </si>
  <si>
    <t xml:space="preserve"> Idaho</t>
  </si>
  <si>
    <t>Chicago</t>
  </si>
  <si>
    <t xml:space="preserve"> Illinois</t>
  </si>
  <si>
    <t>Bengaluru</t>
  </si>
  <si>
    <t xml:space="preserve"> India</t>
  </si>
  <si>
    <t>Chennai</t>
  </si>
  <si>
    <t>Delhi</t>
  </si>
  <si>
    <t>Hyderabad</t>
  </si>
  <si>
    <t>Mumbai</t>
  </si>
  <si>
    <t>Indianapolis</t>
  </si>
  <si>
    <t xml:space="preserve"> Indiana</t>
  </si>
  <si>
    <t>Bali</t>
  </si>
  <si>
    <t xml:space="preserve"> Indonesia</t>
  </si>
  <si>
    <t>Jakarta</t>
  </si>
  <si>
    <t>Des Moines</t>
  </si>
  <si>
    <t xml:space="preserve"> Iowa</t>
  </si>
  <si>
    <t>Tehran</t>
  </si>
  <si>
    <t xml:space="preserve"> Iran</t>
  </si>
  <si>
    <t>Cork</t>
  </si>
  <si>
    <t xml:space="preserve"> Ireland</t>
  </si>
  <si>
    <t>Dublin</t>
  </si>
  <si>
    <t>Galway</t>
  </si>
  <si>
    <t>Tel Aviv</t>
  </si>
  <si>
    <t xml:space="preserve"> Israel</t>
  </si>
  <si>
    <t>Bologna</t>
  </si>
  <si>
    <t xml:space="preserve"> Italy</t>
  </si>
  <si>
    <t>Florence</t>
  </si>
  <si>
    <t>Milan</t>
  </si>
  <si>
    <t>Naples</t>
  </si>
  <si>
    <t>Rome</t>
  </si>
  <si>
    <t>Turin</t>
  </si>
  <si>
    <t>Kingston</t>
  </si>
  <si>
    <t xml:space="preserve"> Jamaica</t>
  </si>
  <si>
    <t>Fukuoka</t>
  </si>
  <si>
    <t xml:space="preserve"> Japan</t>
  </si>
  <si>
    <t>Kyoto</t>
  </si>
  <si>
    <t>Osaka</t>
  </si>
  <si>
    <t>Tokyo</t>
  </si>
  <si>
    <t>Almaty</t>
  </si>
  <si>
    <t xml:space="preserve"> Kazakhstan</t>
  </si>
  <si>
    <t>Louisville</t>
  </si>
  <si>
    <t xml:space="preserve"> Kentucky</t>
  </si>
  <si>
    <t>Nairobi</t>
  </si>
  <si>
    <t xml:space="preserve"> Kenya</t>
  </si>
  <si>
    <t>Riga</t>
  </si>
  <si>
    <t xml:space="preserve"> Latvia</t>
  </si>
  <si>
    <t>Beirut</t>
  </si>
  <si>
    <t xml:space="preserve"> Lebanon</t>
  </si>
  <si>
    <t>Vilnius</t>
  </si>
  <si>
    <t xml:space="preserve"> Lithuania</t>
  </si>
  <si>
    <t>New Orleans</t>
  </si>
  <si>
    <t xml:space="preserve"> Louisiana</t>
  </si>
  <si>
    <t>Luxembourg</t>
  </si>
  <si>
    <t xml:space="preserve"> Luxembourg</t>
  </si>
  <si>
    <t>Skopje</t>
  </si>
  <si>
    <t xml:space="preserve"> Macedonia</t>
  </si>
  <si>
    <t>Portland</t>
  </si>
  <si>
    <t xml:space="preserve"> Maine</t>
  </si>
  <si>
    <t>Kuala Lumpur</t>
  </si>
  <si>
    <t xml:space="preserve"> Malaysia</t>
  </si>
  <si>
    <t>Valletta</t>
  </si>
  <si>
    <t xml:space="preserve"> Malta</t>
  </si>
  <si>
    <t>Baltimore</t>
  </si>
  <si>
    <t xml:space="preserve"> Maryland</t>
  </si>
  <si>
    <t>Boston</t>
  </si>
  <si>
    <t xml:space="preserve"> Massachusetts</t>
  </si>
  <si>
    <t>Guadalajara</t>
  </si>
  <si>
    <t xml:space="preserve"> Mexico</t>
  </si>
  <si>
    <t>Mexico City</t>
  </si>
  <si>
    <t>Detroit</t>
  </si>
  <si>
    <t xml:space="preserve"> Michigan</t>
  </si>
  <si>
    <t>Minneapolis-Saint Paul</t>
  </si>
  <si>
    <t xml:space="preserve"> Minnesota</t>
  </si>
  <si>
    <t>Kansas City</t>
  </si>
  <si>
    <t xml:space="preserve"> Missouri</t>
  </si>
  <si>
    <t>St. Louis</t>
  </si>
  <si>
    <t>Chisinau</t>
  </si>
  <si>
    <t xml:space="preserve"> Moldova</t>
  </si>
  <si>
    <t>Bozeman</t>
  </si>
  <si>
    <t xml:space="preserve"> Montana</t>
  </si>
  <si>
    <t>Casablanca</t>
  </si>
  <si>
    <t xml:space="preserve"> Morocco</t>
  </si>
  <si>
    <t>Omaha</t>
  </si>
  <si>
    <t xml:space="preserve"> Nebraska</t>
  </si>
  <si>
    <t>Kathmandu</t>
  </si>
  <si>
    <t xml:space="preserve"> Nepal</t>
  </si>
  <si>
    <t>Amsterdam</t>
  </si>
  <si>
    <t xml:space="preserve"> Netherlands</t>
  </si>
  <si>
    <t>Eindhoven</t>
  </si>
  <si>
    <t>Rotterdam</t>
  </si>
  <si>
    <t>The Hague</t>
  </si>
  <si>
    <t>Utrecht</t>
  </si>
  <si>
    <t>Las Vegas</t>
  </si>
  <si>
    <t xml:space="preserve"> Nevada</t>
  </si>
  <si>
    <t>Albuquerque</t>
  </si>
  <si>
    <t xml:space="preserve"> New Mexico</t>
  </si>
  <si>
    <t>Buffalo</t>
  </si>
  <si>
    <t xml:space="preserve"> New York</t>
  </si>
  <si>
    <t>New York</t>
  </si>
  <si>
    <t>Rochester</t>
  </si>
  <si>
    <t>Auckland</t>
  </si>
  <si>
    <t xml:space="preserve"> New Zealand</t>
  </si>
  <si>
    <t>Christchurch</t>
  </si>
  <si>
    <t>Wellington</t>
  </si>
  <si>
    <t>Managua</t>
  </si>
  <si>
    <t xml:space="preserve"> Nicaragua</t>
  </si>
  <si>
    <t>Lagos</t>
  </si>
  <si>
    <t xml:space="preserve"> Nigeria</t>
  </si>
  <si>
    <t>Asheville</t>
  </si>
  <si>
    <t xml:space="preserve"> North Carolina</t>
  </si>
  <si>
    <t>Charlotte</t>
  </si>
  <si>
    <t>Raleigh</t>
  </si>
  <si>
    <t>Bergen</t>
  </si>
  <si>
    <t xml:space="preserve"> Norway</t>
  </si>
  <si>
    <t>Oslo</t>
  </si>
  <si>
    <t>Cincinnati</t>
  </si>
  <si>
    <t xml:space="preserve"> Ohio</t>
  </si>
  <si>
    <t>Cleveland</t>
  </si>
  <si>
    <t>Columbus</t>
  </si>
  <si>
    <t>Oklahoma City</t>
  </si>
  <si>
    <t xml:space="preserve"> Oklahoma</t>
  </si>
  <si>
    <t>Eugene</t>
  </si>
  <si>
    <t xml:space="preserve"> Oregon</t>
  </si>
  <si>
    <t>Panama</t>
  </si>
  <si>
    <t xml:space="preserve"> Panama</t>
  </si>
  <si>
    <t>Asuncion</t>
  </si>
  <si>
    <t xml:space="preserve"> Paraguay</t>
  </si>
  <si>
    <t>Philadelphia</t>
  </si>
  <si>
    <t xml:space="preserve"> Pennsylvania</t>
  </si>
  <si>
    <t>Pittsburgh</t>
  </si>
  <si>
    <t>Lima</t>
  </si>
  <si>
    <t xml:space="preserve"> Peru</t>
  </si>
  <si>
    <t>Manila</t>
  </si>
  <si>
    <t xml:space="preserve"> Philippines</t>
  </si>
  <si>
    <t>Gdansk</t>
  </si>
  <si>
    <t xml:space="preserve"> Poland</t>
  </si>
  <si>
    <t>Krakow</t>
  </si>
  <si>
    <t>Warsaw</t>
  </si>
  <si>
    <t>Wroclaw</t>
  </si>
  <si>
    <t>Lisbon</t>
  </si>
  <si>
    <t xml:space="preserve"> Portugal</t>
  </si>
  <si>
    <t>Porto</t>
  </si>
  <si>
    <t>San Juan</t>
  </si>
  <si>
    <t xml:space="preserve"> Puerto Rico</t>
  </si>
  <si>
    <t>Doha</t>
  </si>
  <si>
    <t xml:space="preserve"> Qatar</t>
  </si>
  <si>
    <t>Providence</t>
  </si>
  <si>
    <t xml:space="preserve"> Rhode Island</t>
  </si>
  <si>
    <t>Bucharest</t>
  </si>
  <si>
    <t xml:space="preserve"> Romania</t>
  </si>
  <si>
    <t>Cluj-Napoca</t>
  </si>
  <si>
    <t>Moscow</t>
  </si>
  <si>
    <t xml:space="preserve"> Russia</t>
  </si>
  <si>
    <t>Saint Petersburg</t>
  </si>
  <si>
    <t>Riyadh</t>
  </si>
  <si>
    <t xml:space="preserve"> Saudi Arabia</t>
  </si>
  <si>
    <t>Belgrade</t>
  </si>
  <si>
    <t xml:space="preserve"> Serbia</t>
  </si>
  <si>
    <t>Singapore</t>
  </si>
  <si>
    <t xml:space="preserve"> Singapore</t>
  </si>
  <si>
    <t>Bratislava</t>
  </si>
  <si>
    <t xml:space="preserve"> Slovakia</t>
  </si>
  <si>
    <t>Ljubljana</t>
  </si>
  <si>
    <t xml:space="preserve"> Slovenia</t>
  </si>
  <si>
    <t>Cape Town</t>
  </si>
  <si>
    <t xml:space="preserve"> South Africa</t>
  </si>
  <si>
    <t>Johannesburg</t>
  </si>
  <si>
    <t>Charleston</t>
  </si>
  <si>
    <t xml:space="preserve"> South Carolina</t>
  </si>
  <si>
    <t>Seoul</t>
  </si>
  <si>
    <t xml:space="preserve"> South Korea</t>
  </si>
  <si>
    <t>Barcelona</t>
  </si>
  <si>
    <t xml:space="preserve"> Spain</t>
  </si>
  <si>
    <t>Bilbao</t>
  </si>
  <si>
    <t>Las Palmas de Gran Canaria</t>
  </si>
  <si>
    <t>Madrid</t>
  </si>
  <si>
    <t>Malaga</t>
  </si>
  <si>
    <t>Seville</t>
  </si>
  <si>
    <t>Valencia</t>
  </si>
  <si>
    <t>Gothenburg</t>
  </si>
  <si>
    <t xml:space="preserve"> Sweden</t>
  </si>
  <si>
    <t>Malmo</t>
  </si>
  <si>
    <t>Stockholm</t>
  </si>
  <si>
    <t>Uppsala</t>
  </si>
  <si>
    <t>Bern</t>
  </si>
  <si>
    <t xml:space="preserve"> Switzerland</t>
  </si>
  <si>
    <t>Geneva</t>
  </si>
  <si>
    <t>Lausanne</t>
  </si>
  <si>
    <t>Zurich</t>
  </si>
  <si>
    <t>Taipei</t>
  </si>
  <si>
    <t xml:space="preserve"> Taiwan</t>
  </si>
  <si>
    <t>Dar es Salaam</t>
  </si>
  <si>
    <t xml:space="preserve"> Tanzania</t>
  </si>
  <si>
    <t>Chattanooga</t>
  </si>
  <si>
    <t xml:space="preserve"> Tennessee</t>
  </si>
  <si>
    <t>Knoxville</t>
  </si>
  <si>
    <t>Memphis</t>
  </si>
  <si>
    <t>Nashville</t>
  </si>
  <si>
    <t>Austin</t>
  </si>
  <si>
    <t xml:space="preserve"> Texas</t>
  </si>
  <si>
    <t>Dallas</t>
  </si>
  <si>
    <t>Houston</t>
  </si>
  <si>
    <t>San Antonio</t>
  </si>
  <si>
    <t>Bangkok</t>
  </si>
  <si>
    <t xml:space="preserve"> Thailand</t>
  </si>
  <si>
    <t>Chiang Mai</t>
  </si>
  <si>
    <t>Phuket</t>
  </si>
  <si>
    <t>Tunis</t>
  </si>
  <si>
    <t xml:space="preserve"> Tunisia</t>
  </si>
  <si>
    <t>Ankara</t>
  </si>
  <si>
    <t xml:space="preserve"> Turkey</t>
  </si>
  <si>
    <t>Istanbul</t>
  </si>
  <si>
    <t>Kiev</t>
  </si>
  <si>
    <t xml:space="preserve"> Ukraine</t>
  </si>
  <si>
    <t>Lviv</t>
  </si>
  <si>
    <t>Dubai</t>
  </si>
  <si>
    <t xml:space="preserve"> United Arab Emirates</t>
  </si>
  <si>
    <t>Belfast</t>
  </si>
  <si>
    <t xml:space="preserve"> United Kingdom</t>
  </si>
  <si>
    <t>Brighton</t>
  </si>
  <si>
    <t>Bristol</t>
  </si>
  <si>
    <t>Cambridge</t>
  </si>
  <si>
    <t>Cardiff</t>
  </si>
  <si>
    <t>Edinburgh</t>
  </si>
  <si>
    <t>Glasgow</t>
  </si>
  <si>
    <t>Leeds</t>
  </si>
  <si>
    <t>Liverpool</t>
  </si>
  <si>
    <t>London</t>
  </si>
  <si>
    <t>Manchester</t>
  </si>
  <si>
    <t>Oxford</t>
  </si>
  <si>
    <t>Montevideo</t>
  </si>
  <si>
    <t xml:space="preserve"> Uruguay</t>
  </si>
  <si>
    <t>Salt Lake City</t>
  </si>
  <si>
    <t xml:space="preserve"> Utah</t>
  </si>
  <si>
    <t>Tashkent</t>
  </si>
  <si>
    <t xml:space="preserve"> Uzbekistan</t>
  </si>
  <si>
    <t>Caracas</t>
  </si>
  <si>
    <t xml:space="preserve"> Venezuela</t>
  </si>
  <si>
    <t>Ho Chi Minh City</t>
  </si>
  <si>
    <t xml:space="preserve"> Vietnam</t>
  </si>
  <si>
    <t>Richmond</t>
  </si>
  <si>
    <t xml:space="preserve"> Virginia</t>
  </si>
  <si>
    <t>Seattle</t>
  </si>
  <si>
    <t xml:space="preserve"> Washington</t>
  </si>
  <si>
    <t>Madison</t>
  </si>
  <si>
    <t xml:space="preserve"> Wisconsin</t>
  </si>
  <si>
    <t>Milwaukee</t>
  </si>
  <si>
    <t>Andorra</t>
  </si>
  <si>
    <t>Housing</t>
  </si>
  <si>
    <t>Cost of Living</t>
  </si>
  <si>
    <t>Commute</t>
  </si>
  <si>
    <t>Taxation</t>
  </si>
  <si>
    <t>Startups</t>
  </si>
  <si>
    <t>Venture Capital</t>
  </si>
  <si>
    <t>Business Freedom</t>
  </si>
  <si>
    <t>Economy</t>
  </si>
  <si>
    <t>Environmental Quality</t>
  </si>
  <si>
    <t>Education</t>
  </si>
  <si>
    <t>Healthcare</t>
  </si>
  <si>
    <t>Safety</t>
  </si>
  <si>
    <t>Travel Connectivity</t>
  </si>
  <si>
    <t>Internet Access</t>
  </si>
  <si>
    <t>Leisure &amp; Culture</t>
  </si>
  <si>
    <t>Tolerance</t>
  </si>
  <si>
    <t>Outdoors</t>
  </si>
  <si>
    <t>Living Standard</t>
  </si>
  <si>
    <t>Business Health</t>
  </si>
  <si>
    <t>Basic Necessities</t>
  </si>
  <si>
    <t>Facilitators</t>
  </si>
  <si>
    <t>SUM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</si>
</sst>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79B4A-BB11-4F47-A4BD-8F175F7D1354}">
  <dimension ref="A3:AB270"/>
  <sheetViews>
    <sheetView topLeftCell="T1" workbookViewId="0">
      <selection activeCell="G5" sqref="G5"/>
    </sheetView>
  </sheetViews>
  <sheetFormatPr baseColWidth="10" defaultColWidth="11.5" defaultRowHeight="15" x14ac:dyDescent="0.2"/>
  <cols>
    <col min="1" max="3" width="11.5" style="1"/>
    <col min="4" max="4" width="13.1640625" style="1" customWidth="1"/>
    <col min="5" max="16384" width="11.5" style="1"/>
  </cols>
  <sheetData>
    <row r="3" spans="1:28" x14ac:dyDescent="0.2">
      <c r="F3" s="4" t="s">
        <v>425</v>
      </c>
      <c r="G3" s="4"/>
      <c r="H3" s="4"/>
      <c r="J3" s="5" t="s">
        <v>426</v>
      </c>
      <c r="K3" s="5"/>
      <c r="L3" s="5"/>
      <c r="M3" s="5"/>
      <c r="N3" s="5"/>
      <c r="O3" s="5"/>
      <c r="Q3" s="6" t="s">
        <v>427</v>
      </c>
      <c r="R3" s="6"/>
      <c r="S3" s="6"/>
      <c r="T3" s="6"/>
      <c r="U3" s="6"/>
      <c r="V3" s="6"/>
      <c r="W3" s="6"/>
      <c r="Y3" s="7" t="s">
        <v>428</v>
      </c>
      <c r="Z3" s="7"/>
      <c r="AA3" s="7"/>
      <c r="AB3" s="7"/>
    </row>
    <row r="4" spans="1:28" ht="32" x14ac:dyDescent="0.2">
      <c r="A4" s="1" t="s">
        <v>0</v>
      </c>
      <c r="B4" s="1" t="s">
        <v>1</v>
      </c>
      <c r="C4" s="1" t="s">
        <v>2</v>
      </c>
      <c r="D4" s="1" t="s">
        <v>3</v>
      </c>
      <c r="F4" s="1" t="s">
        <v>408</v>
      </c>
      <c r="G4" s="1" t="s">
        <v>409</v>
      </c>
      <c r="H4" s="1" t="s">
        <v>411</v>
      </c>
      <c r="J4" s="1" t="s">
        <v>411</v>
      </c>
      <c r="K4" s="1" t="s">
        <v>412</v>
      </c>
      <c r="L4" s="1" t="s">
        <v>413</v>
      </c>
      <c r="M4" s="1" t="s">
        <v>415</v>
      </c>
      <c r="N4" s="1" t="s">
        <v>414</v>
      </c>
      <c r="O4" s="1" t="s">
        <v>423</v>
      </c>
      <c r="Q4" s="1" t="s">
        <v>414</v>
      </c>
      <c r="R4" s="1" t="s">
        <v>423</v>
      </c>
      <c r="S4" s="1" t="s">
        <v>419</v>
      </c>
      <c r="T4" s="1" t="s">
        <v>418</v>
      </c>
      <c r="U4" s="1" t="s">
        <v>417</v>
      </c>
      <c r="V4" s="1" t="s">
        <v>416</v>
      </c>
      <c r="W4" s="1" t="s">
        <v>420</v>
      </c>
      <c r="Y4" s="1" t="s">
        <v>421</v>
      </c>
      <c r="Z4" s="1" t="s">
        <v>422</v>
      </c>
      <c r="AA4" s="1" t="s">
        <v>424</v>
      </c>
      <c r="AB4" s="1" t="s">
        <v>410</v>
      </c>
    </row>
    <row r="5" spans="1:28" ht="16" x14ac:dyDescent="0.2">
      <c r="A5" s="1">
        <v>30</v>
      </c>
      <c r="B5" s="1" t="s">
        <v>4</v>
      </c>
      <c r="C5" s="1" t="s">
        <v>5</v>
      </c>
      <c r="D5" s="1" t="s">
        <v>6</v>
      </c>
      <c r="F5" s="1">
        <v>6.5555000000000003</v>
      </c>
      <c r="G5" s="1">
        <v>5.133</v>
      </c>
      <c r="H5" s="1">
        <v>4.2039999999999997</v>
      </c>
      <c r="J5" s="1">
        <v>4.2039999999999997</v>
      </c>
      <c r="K5" s="1">
        <v>4.3574999999999999</v>
      </c>
      <c r="L5" s="1">
        <v>1</v>
      </c>
      <c r="M5" s="1">
        <v>6.5145</v>
      </c>
      <c r="N5" s="1">
        <v>8.6709999999999994</v>
      </c>
      <c r="O5" s="1">
        <v>4.8815</v>
      </c>
      <c r="Q5" s="1">
        <v>8.6709999999999994</v>
      </c>
      <c r="R5" s="1">
        <v>4.8815</v>
      </c>
      <c r="S5" s="1">
        <v>1.776</v>
      </c>
      <c r="T5" s="1">
        <v>6.5409999999999897</v>
      </c>
      <c r="U5" s="1">
        <v>3.6244999999999998</v>
      </c>
      <c r="V5" s="1">
        <v>7.0374999999999996</v>
      </c>
      <c r="W5" s="1">
        <v>1.43549999999999</v>
      </c>
      <c r="Y5" s="1">
        <v>5.1604999999999999</v>
      </c>
      <c r="Z5" s="1">
        <v>5.3834999999999997</v>
      </c>
      <c r="AA5" s="1">
        <v>1.266</v>
      </c>
      <c r="AB5" s="1">
        <v>2.02075</v>
      </c>
    </row>
    <row r="6" spans="1:28" ht="16" x14ac:dyDescent="0.2">
      <c r="A6" s="1">
        <v>5</v>
      </c>
      <c r="B6" s="1" t="s">
        <v>7</v>
      </c>
      <c r="C6" s="1" t="s">
        <v>8</v>
      </c>
      <c r="D6" s="1" t="s">
        <v>6</v>
      </c>
      <c r="F6" s="1">
        <v>5.4335000000000004</v>
      </c>
      <c r="G6" s="1">
        <v>3.141</v>
      </c>
      <c r="H6" s="1">
        <v>4.7720000000000002</v>
      </c>
      <c r="J6" s="1">
        <v>4.7720000000000002</v>
      </c>
      <c r="K6" s="1">
        <v>2.7945000000000002</v>
      </c>
      <c r="L6" s="1">
        <v>0</v>
      </c>
      <c r="M6" s="1">
        <v>6.5145</v>
      </c>
      <c r="N6" s="1">
        <v>8.6709999999999994</v>
      </c>
      <c r="O6" s="1">
        <v>7.093</v>
      </c>
      <c r="Q6" s="1">
        <v>8.6709999999999994</v>
      </c>
      <c r="R6" s="1">
        <v>7.093</v>
      </c>
      <c r="S6" s="1">
        <v>3.4704999999999901</v>
      </c>
      <c r="T6" s="1">
        <v>6.0603333333333298</v>
      </c>
      <c r="U6" s="1">
        <v>3.6244999999999998</v>
      </c>
      <c r="V6" s="1">
        <v>9.2720000000000002</v>
      </c>
      <c r="W6" s="1">
        <v>1.73799999999999</v>
      </c>
      <c r="Y6" s="1">
        <v>4.9645000000000001</v>
      </c>
      <c r="Z6" s="1">
        <v>3.266</v>
      </c>
      <c r="AA6" s="1">
        <v>5.3579999999999997</v>
      </c>
      <c r="AB6" s="1">
        <v>4.7152499999999904</v>
      </c>
    </row>
    <row r="7" spans="1:28" ht="16" x14ac:dyDescent="0.2">
      <c r="A7" s="1">
        <v>46</v>
      </c>
      <c r="B7" s="1" t="s">
        <v>9</v>
      </c>
      <c r="C7" s="1" t="s">
        <v>10</v>
      </c>
      <c r="D7" s="1" t="s">
        <v>11</v>
      </c>
      <c r="F7" s="1">
        <v>8.8119999999999994</v>
      </c>
      <c r="G7" s="1">
        <v>7.7639999999999896</v>
      </c>
      <c r="H7" s="1">
        <v>1.5680000000000001</v>
      </c>
      <c r="J7" s="1">
        <v>1.5680000000000001</v>
      </c>
      <c r="K7" s="1">
        <v>4.6729999999999903</v>
      </c>
      <c r="L7" s="1">
        <v>2.31</v>
      </c>
      <c r="M7" s="1">
        <v>2.8839999999999999</v>
      </c>
      <c r="N7" s="1">
        <v>4.0453333333333301</v>
      </c>
      <c r="O7" s="1">
        <v>8.5839999999999996</v>
      </c>
      <c r="Q7" s="1">
        <v>4.0453333333333301</v>
      </c>
      <c r="R7" s="1">
        <v>8.5839999999999996</v>
      </c>
      <c r="S7" s="1">
        <v>6.0395000000000003</v>
      </c>
      <c r="T7" s="1">
        <v>6.9789999999999903</v>
      </c>
      <c r="U7" s="1">
        <v>1.4219999999999999</v>
      </c>
      <c r="V7" s="1">
        <v>4.8689999999999998</v>
      </c>
      <c r="W7" s="1">
        <v>3.77</v>
      </c>
      <c r="Y7" s="1">
        <v>1.5274999999999901</v>
      </c>
      <c r="Z7" s="1">
        <v>7.6734999999999998</v>
      </c>
      <c r="AA7" s="1">
        <v>4.5354999999999999</v>
      </c>
      <c r="AB7" s="1">
        <v>4.9234999999999998</v>
      </c>
    </row>
    <row r="8" spans="1:28" ht="16" x14ac:dyDescent="0.2">
      <c r="A8" s="1">
        <v>188</v>
      </c>
      <c r="B8" s="1" t="s">
        <v>12</v>
      </c>
      <c r="C8" s="1" t="s">
        <v>13</v>
      </c>
      <c r="D8" s="1" t="s">
        <v>6</v>
      </c>
      <c r="F8" s="1">
        <v>6.5329999999999897</v>
      </c>
      <c r="G8" s="1">
        <v>6.2080000000000002</v>
      </c>
      <c r="H8" s="1">
        <v>4.4880000000000004</v>
      </c>
      <c r="J8" s="1">
        <v>4.4880000000000004</v>
      </c>
      <c r="K8" s="1">
        <v>6.5084999999999997</v>
      </c>
      <c r="L8" s="1">
        <v>4.5579999999999998</v>
      </c>
      <c r="M8" s="1">
        <v>6.5145</v>
      </c>
      <c r="N8" s="1">
        <v>8.6709999999999994</v>
      </c>
      <c r="O8" s="1">
        <v>5.5649999999999897</v>
      </c>
      <c r="Q8" s="1">
        <v>8.6709999999999994</v>
      </c>
      <c r="R8" s="1">
        <v>5.5649999999999897</v>
      </c>
      <c r="S8" s="1">
        <v>2.58299999999999</v>
      </c>
      <c r="T8" s="1">
        <v>6.1263333333333296</v>
      </c>
      <c r="U8" s="1">
        <v>4.5909999999999904</v>
      </c>
      <c r="V8" s="1">
        <v>4.6252499999999896</v>
      </c>
      <c r="W8" s="1">
        <v>3.30249999999999</v>
      </c>
      <c r="Y8" s="1">
        <v>6.1779999999999999</v>
      </c>
      <c r="Z8" s="1">
        <v>6.81</v>
      </c>
      <c r="AA8" s="1">
        <v>6.7355</v>
      </c>
      <c r="AB8" s="1">
        <v>4.8285</v>
      </c>
    </row>
    <row r="9" spans="1:28" ht="16" x14ac:dyDescent="0.2">
      <c r="A9" s="1">
        <v>263</v>
      </c>
      <c r="B9" s="1" t="s">
        <v>14</v>
      </c>
      <c r="C9" s="1" t="s">
        <v>15</v>
      </c>
      <c r="D9" s="1" t="s">
        <v>16</v>
      </c>
      <c r="F9" s="1">
        <v>9.6944999999999997</v>
      </c>
      <c r="G9" s="1">
        <v>9.4309999999999992</v>
      </c>
      <c r="H9" s="1">
        <v>8.0549999999999997</v>
      </c>
      <c r="J9" s="1">
        <v>8.0549999999999997</v>
      </c>
      <c r="K9" s="1">
        <v>3.9264999999999999</v>
      </c>
      <c r="L9" s="1">
        <v>0</v>
      </c>
      <c r="M9" s="1">
        <v>3.4580000000000002</v>
      </c>
      <c r="N9" s="1">
        <v>6.5009999999999897</v>
      </c>
      <c r="O9" s="1">
        <v>7.3464999999999998</v>
      </c>
      <c r="Q9" s="1">
        <v>6.5009999999999897</v>
      </c>
      <c r="R9" s="1">
        <v>7.3464999999999998</v>
      </c>
      <c r="S9" s="1">
        <v>8.8729999999999993</v>
      </c>
      <c r="T9" s="1">
        <v>5.1020000000000003</v>
      </c>
      <c r="U9" s="1">
        <v>0</v>
      </c>
      <c r="V9" s="1">
        <v>4.4394999999999998</v>
      </c>
      <c r="W9" s="1">
        <v>1.7869999999999999</v>
      </c>
      <c r="Y9" s="1">
        <v>3.8999999999999901</v>
      </c>
      <c r="Z9" s="1">
        <v>4.7370000000000001</v>
      </c>
      <c r="AA9" s="1">
        <v>7.7765000000000004</v>
      </c>
      <c r="AB9" s="1">
        <v>5.6492500000000003</v>
      </c>
    </row>
    <row r="10" spans="1:28" ht="16" x14ac:dyDescent="0.2">
      <c r="A10" s="1">
        <v>1</v>
      </c>
      <c r="B10" s="1" t="s">
        <v>17</v>
      </c>
      <c r="C10" s="1" t="s">
        <v>18</v>
      </c>
      <c r="D10" s="1" t="s">
        <v>19</v>
      </c>
      <c r="F10" s="1">
        <v>6.3094999999999999</v>
      </c>
      <c r="G10" s="1">
        <v>4.6920000000000002</v>
      </c>
      <c r="H10" s="1">
        <v>4.5884999999999998</v>
      </c>
      <c r="J10" s="1">
        <v>4.5884999999999998</v>
      </c>
      <c r="K10" s="1">
        <v>3.1364999999999998</v>
      </c>
      <c r="L10" s="1">
        <v>2.64</v>
      </c>
      <c r="M10" s="1">
        <v>6.0694999999999997</v>
      </c>
      <c r="N10" s="1">
        <v>9.3996666666666595</v>
      </c>
      <c r="O10" s="1">
        <v>7.8220000000000001</v>
      </c>
      <c r="Q10" s="1">
        <v>9.3996666666666595</v>
      </c>
      <c r="R10" s="1">
        <v>7.8220000000000001</v>
      </c>
      <c r="S10" s="1">
        <v>7.9260000000000002</v>
      </c>
      <c r="T10" s="1">
        <v>7.9366666666666603</v>
      </c>
      <c r="U10" s="1">
        <v>5.1419999999999897</v>
      </c>
      <c r="V10" s="1">
        <v>8.3307500000000001</v>
      </c>
      <c r="W10" s="1">
        <v>1.7765</v>
      </c>
      <c r="Y10" s="1">
        <v>4.3410000000000002</v>
      </c>
      <c r="Z10" s="1">
        <v>4.3285</v>
      </c>
      <c r="AA10" s="1">
        <v>5.5309999999999997</v>
      </c>
      <c r="AB10" s="1">
        <v>5.3362499999999997</v>
      </c>
    </row>
    <row r="11" spans="1:28" ht="16" x14ac:dyDescent="0.2">
      <c r="A11" s="1">
        <v>40</v>
      </c>
      <c r="B11" s="1" t="s">
        <v>20</v>
      </c>
      <c r="C11" s="1" t="s">
        <v>18</v>
      </c>
      <c r="D11" s="1" t="s">
        <v>19</v>
      </c>
      <c r="F11" s="1">
        <v>5.2119999999999997</v>
      </c>
      <c r="G11" s="1">
        <v>5.1769999999999996</v>
      </c>
      <c r="H11" s="1">
        <v>4.5884999999999998</v>
      </c>
      <c r="J11" s="1">
        <v>4.5884999999999998</v>
      </c>
      <c r="K11" s="1">
        <v>6.343</v>
      </c>
      <c r="L11" s="1">
        <v>3.24</v>
      </c>
      <c r="M11" s="1">
        <v>6.0694999999999997</v>
      </c>
      <c r="N11" s="1">
        <v>9.3996666666666595</v>
      </c>
      <c r="O11" s="1">
        <v>7.4894999999999996</v>
      </c>
      <c r="Q11" s="1">
        <v>9.3996666666666595</v>
      </c>
      <c r="R11" s="1">
        <v>7.4894999999999996</v>
      </c>
      <c r="S11" s="1">
        <v>7.9035000000000002</v>
      </c>
      <c r="T11" s="1">
        <v>8.3176666666666605</v>
      </c>
      <c r="U11" s="1">
        <v>5.9209999999999896</v>
      </c>
      <c r="V11" s="1">
        <v>8.82775</v>
      </c>
      <c r="W11" s="1">
        <v>2.4344999999999999</v>
      </c>
      <c r="Y11" s="1">
        <v>4.4074999999999998</v>
      </c>
      <c r="Z11" s="1">
        <v>4.01</v>
      </c>
      <c r="AA11" s="1">
        <v>6.2565</v>
      </c>
      <c r="AB11" s="1">
        <v>4.61775</v>
      </c>
    </row>
    <row r="12" spans="1:28" ht="16" x14ac:dyDescent="0.2">
      <c r="A12" s="1">
        <v>153</v>
      </c>
      <c r="B12" s="1" t="s">
        <v>21</v>
      </c>
      <c r="C12" s="1" t="s">
        <v>18</v>
      </c>
      <c r="D12" s="1" t="s">
        <v>19</v>
      </c>
      <c r="F12" s="1">
        <v>4.8299999999999903</v>
      </c>
      <c r="G12" s="1">
        <v>4.798</v>
      </c>
      <c r="H12" s="1">
        <v>4.5884999999999998</v>
      </c>
      <c r="J12" s="1">
        <v>4.5884999999999998</v>
      </c>
      <c r="K12" s="1">
        <v>8.2040000000000006</v>
      </c>
      <c r="L12" s="1">
        <v>5.0199999999999996</v>
      </c>
      <c r="M12" s="1">
        <v>6.0694999999999997</v>
      </c>
      <c r="N12" s="1">
        <v>9.3996666666666595</v>
      </c>
      <c r="O12" s="1">
        <v>7.0004999999999997</v>
      </c>
      <c r="Q12" s="1">
        <v>9.3996666666666595</v>
      </c>
      <c r="R12" s="1">
        <v>7.0004999999999997</v>
      </c>
      <c r="S12" s="1">
        <v>7.1325000000000003</v>
      </c>
      <c r="T12" s="1">
        <v>8.0159999999999894</v>
      </c>
      <c r="U12" s="1">
        <v>6.2204999999999897</v>
      </c>
      <c r="V12" s="1">
        <v>7.89149999999999</v>
      </c>
      <c r="W12" s="1">
        <v>2.8464999999999998</v>
      </c>
      <c r="Y12" s="1">
        <v>5.8959999999999999</v>
      </c>
      <c r="Z12" s="1">
        <v>6.4610000000000003</v>
      </c>
      <c r="AA12" s="1">
        <v>6.2029999999999896</v>
      </c>
      <c r="AB12" s="1">
        <v>4.8719999999999999</v>
      </c>
    </row>
    <row r="13" spans="1:28" ht="16" x14ac:dyDescent="0.2">
      <c r="A13" s="1">
        <v>185</v>
      </c>
      <c r="B13" s="1" t="s">
        <v>22</v>
      </c>
      <c r="C13" s="1" t="s">
        <v>18</v>
      </c>
      <c r="D13" s="1" t="s">
        <v>19</v>
      </c>
      <c r="F13" s="1">
        <v>5.2329999999999997</v>
      </c>
      <c r="G13" s="1">
        <v>4.7949999999999999</v>
      </c>
      <c r="H13" s="1">
        <v>4.5884999999999998</v>
      </c>
      <c r="J13" s="1">
        <v>4.5884999999999998</v>
      </c>
      <c r="K13" s="1">
        <v>5.1269999999999998</v>
      </c>
      <c r="L13" s="1">
        <v>3.1019999999999999</v>
      </c>
      <c r="M13" s="1">
        <v>6.0694999999999997</v>
      </c>
      <c r="N13" s="1">
        <v>9.3996666666666595</v>
      </c>
      <c r="O13" s="1">
        <v>7.4705000000000004</v>
      </c>
      <c r="Q13" s="1">
        <v>9.3996666666666595</v>
      </c>
      <c r="R13" s="1">
        <v>7.4705000000000004</v>
      </c>
      <c r="S13" s="1">
        <v>7.1044999999999998</v>
      </c>
      <c r="T13" s="1">
        <v>8.0593333333333295</v>
      </c>
      <c r="U13" s="1">
        <v>5.1429999999999998</v>
      </c>
      <c r="V13" s="1">
        <v>8.1325000000000003</v>
      </c>
      <c r="W13" s="1">
        <v>2.1104999999999898</v>
      </c>
      <c r="Y13" s="1">
        <v>4.1784999999999997</v>
      </c>
      <c r="Z13" s="1">
        <v>4.5114999999999998</v>
      </c>
      <c r="AA13" s="1">
        <v>5.6835000000000004</v>
      </c>
      <c r="AB13" s="1">
        <v>4.6950000000000003</v>
      </c>
    </row>
    <row r="14" spans="1:28" ht="16" x14ac:dyDescent="0.2">
      <c r="A14" s="1">
        <v>232</v>
      </c>
      <c r="B14" s="1" t="s">
        <v>23</v>
      </c>
      <c r="C14" s="1" t="s">
        <v>18</v>
      </c>
      <c r="D14" s="1" t="s">
        <v>19</v>
      </c>
      <c r="F14" s="1">
        <v>1.9864999999999999</v>
      </c>
      <c r="G14" s="1">
        <v>4.1280000000000001</v>
      </c>
      <c r="H14" s="1">
        <v>4.5884999999999998</v>
      </c>
      <c r="J14" s="1">
        <v>4.5884999999999998</v>
      </c>
      <c r="K14" s="1">
        <v>8.7264999999999997</v>
      </c>
      <c r="L14" s="1">
        <v>6.4269999999999996</v>
      </c>
      <c r="M14" s="1">
        <v>6.0694999999999997</v>
      </c>
      <c r="N14" s="1">
        <v>9.3996666666666595</v>
      </c>
      <c r="O14" s="1">
        <v>7.0324999999999998</v>
      </c>
      <c r="Q14" s="1">
        <v>9.3996666666666595</v>
      </c>
      <c r="R14" s="1">
        <v>7.0324999999999998</v>
      </c>
      <c r="S14" s="1">
        <v>7.5709999999999997</v>
      </c>
      <c r="T14" s="1">
        <v>8.0336666666666599</v>
      </c>
      <c r="U14" s="1">
        <v>6.7255000000000003</v>
      </c>
      <c r="V14" s="1">
        <v>7.8167499999999999</v>
      </c>
      <c r="W14" s="1">
        <v>3.2849999999999899</v>
      </c>
      <c r="Y14" s="1">
        <v>4.7365000000000004</v>
      </c>
      <c r="Z14" s="1">
        <v>6.2275</v>
      </c>
      <c r="AA14" s="1">
        <v>6.2634999999999996</v>
      </c>
      <c r="AB14" s="1">
        <v>4.851</v>
      </c>
    </row>
    <row r="15" spans="1:28" ht="16" x14ac:dyDescent="0.2">
      <c r="A15" s="1">
        <v>112</v>
      </c>
      <c r="B15" s="1" t="s">
        <v>24</v>
      </c>
      <c r="C15" s="1" t="s">
        <v>25</v>
      </c>
      <c r="D15" s="1" t="s">
        <v>26</v>
      </c>
      <c r="F15" s="1">
        <v>6.7080000000000002</v>
      </c>
      <c r="G15" s="1">
        <v>4.7320000000000002</v>
      </c>
      <c r="H15" s="1">
        <v>2.6659999999999999</v>
      </c>
      <c r="J15" s="1">
        <v>2.6659999999999999</v>
      </c>
      <c r="K15" s="1">
        <v>2.12549999999999</v>
      </c>
      <c r="L15" s="1">
        <v>0</v>
      </c>
      <c r="M15" s="1">
        <v>4.6630000000000003</v>
      </c>
      <c r="N15" s="1">
        <v>7.5960000000000001</v>
      </c>
      <c r="O15" s="1">
        <v>8.4854999999999894</v>
      </c>
      <c r="Q15" s="1">
        <v>7.5960000000000001</v>
      </c>
      <c r="R15" s="1">
        <v>8.4854999999999894</v>
      </c>
      <c r="S15" s="1">
        <v>8.2729999999999997</v>
      </c>
      <c r="T15" s="1">
        <v>7.8846666666666598</v>
      </c>
      <c r="U15" s="1">
        <v>4.33</v>
      </c>
      <c r="V15" s="1">
        <v>7.3659999999999997</v>
      </c>
      <c r="W15" s="1">
        <v>5.5694999999999997</v>
      </c>
      <c r="Y15" s="1">
        <v>5.0594999999999999</v>
      </c>
      <c r="Z15" s="1">
        <v>4.4245000000000001</v>
      </c>
      <c r="AA15" s="1">
        <v>3.9634999999999998</v>
      </c>
      <c r="AB15" s="1">
        <v>6.3739999999999997</v>
      </c>
    </row>
    <row r="16" spans="1:28" ht="16" x14ac:dyDescent="0.2">
      <c r="A16" s="1">
        <v>256</v>
      </c>
      <c r="B16" s="1" t="s">
        <v>27</v>
      </c>
      <c r="C16" s="1" t="s">
        <v>25</v>
      </c>
      <c r="D16" s="1" t="s">
        <v>26</v>
      </c>
      <c r="F16" s="1">
        <v>6.3140000000000001</v>
      </c>
      <c r="G16" s="1">
        <v>5.1109999999999998</v>
      </c>
      <c r="H16" s="1">
        <v>2.6659999999999999</v>
      </c>
      <c r="J16" s="1">
        <v>2.6659999999999999</v>
      </c>
      <c r="K16" s="1">
        <v>5.798</v>
      </c>
      <c r="L16" s="1">
        <v>3.6349999999999998</v>
      </c>
      <c r="M16" s="1">
        <v>4.6630000000000003</v>
      </c>
      <c r="N16" s="1">
        <v>7.5960000000000001</v>
      </c>
      <c r="O16" s="1">
        <v>8.9639999999999898</v>
      </c>
      <c r="Q16" s="1">
        <v>7.5960000000000001</v>
      </c>
      <c r="R16" s="1">
        <v>8.9639999999999898</v>
      </c>
      <c r="S16" s="1">
        <v>8.5965000000000007</v>
      </c>
      <c r="T16" s="1">
        <v>8.1980000000000004</v>
      </c>
      <c r="U16" s="1">
        <v>4.8544999999999998</v>
      </c>
      <c r="V16" s="1">
        <v>9.27</v>
      </c>
      <c r="W16" s="1">
        <v>8.0314999999999994</v>
      </c>
      <c r="Y16" s="1">
        <v>6.173</v>
      </c>
      <c r="Z16" s="1">
        <v>8.5214999999999996</v>
      </c>
      <c r="AA16" s="1">
        <v>5.2944999999999904</v>
      </c>
      <c r="AB16" s="1">
        <v>6.2132500000000004</v>
      </c>
    </row>
    <row r="17" spans="1:28" ht="16" x14ac:dyDescent="0.2">
      <c r="A17" s="1">
        <v>14</v>
      </c>
      <c r="B17" s="1" t="s">
        <v>28</v>
      </c>
      <c r="C17" s="1" t="s">
        <v>29</v>
      </c>
      <c r="D17" s="1" t="s">
        <v>16</v>
      </c>
      <c r="F17" s="1">
        <v>9.7449999999999992</v>
      </c>
      <c r="G17" s="1">
        <v>9.8059999999999992</v>
      </c>
      <c r="H17" s="1">
        <v>5.8609999999999998</v>
      </c>
      <c r="J17" s="1">
        <v>5.8609999999999998</v>
      </c>
      <c r="K17" s="1">
        <v>2.6704999999999899</v>
      </c>
      <c r="L17" s="1">
        <v>0</v>
      </c>
      <c r="M17" s="1">
        <v>3.8765000000000001</v>
      </c>
      <c r="N17" s="1">
        <v>5.6716666666666598</v>
      </c>
      <c r="O17" s="1">
        <v>6.5845000000000002</v>
      </c>
      <c r="Q17" s="1">
        <v>5.6716666666666598</v>
      </c>
      <c r="R17" s="1">
        <v>6.5845000000000002</v>
      </c>
      <c r="S17" s="1">
        <v>8.7720000000000002</v>
      </c>
      <c r="T17" s="1">
        <v>3.7019999999999902</v>
      </c>
      <c r="U17" s="1">
        <v>0</v>
      </c>
      <c r="V17" s="1">
        <v>2.6212499999999999</v>
      </c>
      <c r="W17" s="1">
        <v>2.169</v>
      </c>
      <c r="Y17" s="1">
        <v>1.4419999999999999</v>
      </c>
      <c r="Z17" s="1">
        <v>6.2195</v>
      </c>
      <c r="AA17" s="1">
        <v>4.5030000000000001</v>
      </c>
      <c r="AB17" s="1">
        <v>5.492</v>
      </c>
    </row>
    <row r="18" spans="1:28" ht="16" x14ac:dyDescent="0.2">
      <c r="A18" s="1">
        <v>160</v>
      </c>
      <c r="B18" s="1" t="s">
        <v>30</v>
      </c>
      <c r="C18" s="1" t="s">
        <v>31</v>
      </c>
      <c r="D18" s="1" t="s">
        <v>26</v>
      </c>
      <c r="F18" s="1">
        <v>9.4954999999999998</v>
      </c>
      <c r="G18" s="1">
        <v>9.2889999999999997</v>
      </c>
      <c r="H18" s="1">
        <v>5.9260000000000002</v>
      </c>
      <c r="J18" s="1">
        <v>5.9260000000000002</v>
      </c>
      <c r="K18" s="1">
        <v>4.3784999999999998</v>
      </c>
      <c r="L18" s="1">
        <v>0</v>
      </c>
      <c r="M18" s="1">
        <v>3.2040000000000002</v>
      </c>
      <c r="N18" s="1">
        <v>5.5963333333333303</v>
      </c>
      <c r="O18" s="1">
        <v>7.4215</v>
      </c>
      <c r="Q18" s="1">
        <v>5.5963333333333303</v>
      </c>
      <c r="R18" s="1">
        <v>7.4215</v>
      </c>
      <c r="S18" s="1">
        <v>9.0380000000000003</v>
      </c>
      <c r="T18" s="1">
        <v>5.5106666666666602</v>
      </c>
      <c r="U18" s="1">
        <v>0.5</v>
      </c>
      <c r="V18" s="1">
        <v>7.0482500000000003</v>
      </c>
      <c r="W18" s="1">
        <v>3.76649999999999</v>
      </c>
      <c r="Y18" s="1">
        <v>4.8630000000000004</v>
      </c>
      <c r="Z18" s="1">
        <v>6.9499999999999904</v>
      </c>
      <c r="AA18" s="1">
        <v>4.9059999999999997</v>
      </c>
      <c r="AB18" s="1">
        <v>5.3654999999999999</v>
      </c>
    </row>
    <row r="19" spans="1:28" ht="16" x14ac:dyDescent="0.2">
      <c r="A19" s="1">
        <v>43</v>
      </c>
      <c r="B19" s="1" t="s">
        <v>32</v>
      </c>
      <c r="C19" s="1" t="s">
        <v>33</v>
      </c>
      <c r="D19" s="1" t="s">
        <v>26</v>
      </c>
      <c r="F19" s="1">
        <v>6.3549999999999898</v>
      </c>
      <c r="G19" s="1">
        <v>4.4770000000000003</v>
      </c>
      <c r="H19" s="1">
        <v>1.883</v>
      </c>
      <c r="J19" s="1">
        <v>1.883</v>
      </c>
      <c r="K19" s="1">
        <v>5.6914999999999996</v>
      </c>
      <c r="L19" s="1">
        <v>3.3739999999999899</v>
      </c>
      <c r="M19" s="1">
        <v>4.8114999999999997</v>
      </c>
      <c r="N19" s="1">
        <v>8.87699999999999</v>
      </c>
      <c r="O19" s="1">
        <v>6.4809999999999999</v>
      </c>
      <c r="Q19" s="1">
        <v>8.87699999999999</v>
      </c>
      <c r="R19" s="1">
        <v>6.4809999999999999</v>
      </c>
      <c r="S19" s="1">
        <v>6.7030000000000003</v>
      </c>
      <c r="T19" s="1">
        <v>8.1583333333333297</v>
      </c>
      <c r="U19" s="1">
        <v>6.6529999999999996</v>
      </c>
      <c r="V19" s="1">
        <v>4.5910000000000002</v>
      </c>
      <c r="W19" s="1">
        <v>7.4675000000000002</v>
      </c>
      <c r="Y19" s="1">
        <v>7.5715000000000003</v>
      </c>
      <c r="Z19" s="1">
        <v>8.1439999999999895</v>
      </c>
      <c r="AA19" s="1">
        <v>4.1230000000000002</v>
      </c>
      <c r="AB19" s="1">
        <v>5.3867500000000001</v>
      </c>
    </row>
    <row r="20" spans="1:28" ht="16" x14ac:dyDescent="0.2">
      <c r="A20" s="1">
        <v>23</v>
      </c>
      <c r="B20" s="1" t="s">
        <v>34</v>
      </c>
      <c r="C20" s="1" t="s">
        <v>35</v>
      </c>
      <c r="D20" s="1" t="s">
        <v>6</v>
      </c>
      <c r="F20" s="1">
        <v>4.6425000000000001</v>
      </c>
      <c r="G20" s="1">
        <v>0</v>
      </c>
      <c r="H20" s="1">
        <v>6.93</v>
      </c>
      <c r="J20" s="1">
        <v>6.93</v>
      </c>
      <c r="K20" s="1">
        <v>1.8660000000000001</v>
      </c>
      <c r="L20" s="1">
        <v>0</v>
      </c>
      <c r="M20" s="1">
        <v>3.4959999999999898</v>
      </c>
      <c r="N20" s="1">
        <v>3.4109999999999898</v>
      </c>
      <c r="O20" s="1">
        <v>6.8650000000000002</v>
      </c>
      <c r="Q20" s="1">
        <v>3.4109999999999898</v>
      </c>
      <c r="R20" s="1">
        <v>6.8650000000000002</v>
      </c>
      <c r="S20" s="1">
        <v>6.0519999999999996</v>
      </c>
      <c r="T20" s="1">
        <v>5.5039999999999898</v>
      </c>
      <c r="U20" s="1">
        <v>0</v>
      </c>
      <c r="V20" s="1">
        <v>2.0310000000000001</v>
      </c>
      <c r="W20" s="1">
        <v>0.89</v>
      </c>
      <c r="Y20" s="1">
        <v>3.8074999999999899</v>
      </c>
      <c r="Z20" s="1">
        <v>1.0645</v>
      </c>
      <c r="AA20" s="1">
        <v>0.5</v>
      </c>
      <c r="AB20" s="1">
        <v>0</v>
      </c>
    </row>
    <row r="21" spans="1:28" ht="16" x14ac:dyDescent="0.2">
      <c r="A21" s="1">
        <v>127</v>
      </c>
      <c r="B21" s="1" t="s">
        <v>36</v>
      </c>
      <c r="C21" s="1" t="s">
        <v>37</v>
      </c>
      <c r="D21" s="1" t="s">
        <v>11</v>
      </c>
      <c r="F21" s="1">
        <v>4.7240000000000002</v>
      </c>
      <c r="G21" s="1">
        <v>0</v>
      </c>
      <c r="H21" s="1">
        <v>4.5489999999999897</v>
      </c>
      <c r="J21" s="1">
        <v>4.5489999999999897</v>
      </c>
      <c r="K21" s="1">
        <v>1.4975000000000001</v>
      </c>
      <c r="L21" s="1">
        <v>0</v>
      </c>
      <c r="M21" s="1">
        <v>4.5359999999999996</v>
      </c>
      <c r="N21" s="1">
        <v>3.48199999999999</v>
      </c>
      <c r="O21" s="1">
        <v>6.2929999999999904</v>
      </c>
      <c r="Q21" s="1">
        <v>3.48199999999999</v>
      </c>
      <c r="R21" s="1">
        <v>6.2929999999999904</v>
      </c>
      <c r="S21" s="1">
        <v>6.7504999999999997</v>
      </c>
      <c r="T21" s="1">
        <v>4.3159999999999901</v>
      </c>
      <c r="U21" s="1">
        <v>0</v>
      </c>
      <c r="V21" s="1">
        <v>1.7337499999999999</v>
      </c>
      <c r="W21" s="1">
        <v>1.319</v>
      </c>
      <c r="Y21" s="1">
        <v>1.548</v>
      </c>
      <c r="Z21" s="1">
        <v>1.5249999999999999</v>
      </c>
      <c r="AA21" s="1">
        <v>5.4999999999999902</v>
      </c>
      <c r="AB21" s="1">
        <v>3.8342499999999902</v>
      </c>
    </row>
    <row r="22" spans="1:28" ht="32" x14ac:dyDescent="0.2">
      <c r="A22" s="1">
        <v>220</v>
      </c>
      <c r="B22" s="1" t="s">
        <v>38</v>
      </c>
      <c r="C22" s="1" t="s">
        <v>39</v>
      </c>
      <c r="D22" s="1" t="s">
        <v>26</v>
      </c>
      <c r="F22" s="1">
        <v>9.6925000000000008</v>
      </c>
      <c r="G22" s="1">
        <v>8.6590000000000007</v>
      </c>
      <c r="H22" s="1">
        <v>9.1179999999999897</v>
      </c>
      <c r="J22" s="1">
        <v>9.1179999999999897</v>
      </c>
      <c r="K22" s="1">
        <v>2.5840000000000001</v>
      </c>
      <c r="L22" s="1">
        <v>0</v>
      </c>
      <c r="M22" s="1">
        <v>2.0880000000000001</v>
      </c>
      <c r="N22" s="1">
        <v>2.5803333333333298</v>
      </c>
      <c r="O22" s="1">
        <v>7.7365000000000004</v>
      </c>
      <c r="Q22" s="1">
        <v>2.5803333333333298</v>
      </c>
      <c r="R22" s="1">
        <v>7.7365000000000004</v>
      </c>
      <c r="S22" s="1">
        <v>7.1329999999999902</v>
      </c>
      <c r="T22" s="1">
        <v>6.5256666666666598</v>
      </c>
      <c r="U22" s="1">
        <v>0</v>
      </c>
      <c r="V22" s="1">
        <v>3.6659999999999999</v>
      </c>
      <c r="W22" s="1">
        <v>1.2070000000000001</v>
      </c>
      <c r="Y22" s="1">
        <v>4.6475</v>
      </c>
      <c r="Z22" s="1">
        <v>5.9344999999999999</v>
      </c>
      <c r="AA22" s="1">
        <v>2.8704999999999998</v>
      </c>
      <c r="AB22" s="1">
        <v>5.7080000000000002</v>
      </c>
    </row>
    <row r="23" spans="1:28" ht="16" x14ac:dyDescent="0.2">
      <c r="A23" s="1">
        <v>71</v>
      </c>
      <c r="B23" s="1" t="s">
        <v>40</v>
      </c>
      <c r="C23" s="1" t="s">
        <v>41</v>
      </c>
      <c r="D23" s="1" t="s">
        <v>11</v>
      </c>
      <c r="F23" s="1">
        <v>9.4294999999999902</v>
      </c>
      <c r="G23" s="1">
        <v>8.4329999999999998</v>
      </c>
      <c r="H23" s="1">
        <v>2.8525</v>
      </c>
      <c r="J23" s="1">
        <v>2.8525</v>
      </c>
      <c r="K23" s="1">
        <v>2.9119999999999999</v>
      </c>
      <c r="L23" s="1">
        <v>2.1480000000000001</v>
      </c>
      <c r="M23" s="1">
        <v>2.1869999999999998</v>
      </c>
      <c r="N23" s="1">
        <v>2.7810000000000001</v>
      </c>
      <c r="O23" s="1">
        <v>7.8479999999999999</v>
      </c>
      <c r="Q23" s="1">
        <v>2.7810000000000001</v>
      </c>
      <c r="R23" s="1">
        <v>7.8479999999999999</v>
      </c>
      <c r="S23" s="1">
        <v>5.9465000000000003</v>
      </c>
      <c r="T23" s="1">
        <v>5.8970000000000002</v>
      </c>
      <c r="U23" s="1">
        <v>1.0165</v>
      </c>
      <c r="V23" s="1">
        <v>7.75725</v>
      </c>
      <c r="W23" s="1">
        <v>0.89</v>
      </c>
      <c r="Y23" s="1">
        <v>3.1419999999999999</v>
      </c>
      <c r="Z23" s="1">
        <v>7.1875</v>
      </c>
      <c r="AA23" s="1">
        <v>2.6655000000000002</v>
      </c>
      <c r="AB23" s="1">
        <v>4.9502499999999996</v>
      </c>
    </row>
    <row r="24" spans="1:28" ht="16" x14ac:dyDescent="0.2">
      <c r="A24" s="1">
        <v>88</v>
      </c>
      <c r="B24" s="1" t="s">
        <v>42</v>
      </c>
      <c r="C24" s="1" t="s">
        <v>41</v>
      </c>
      <c r="D24" s="1" t="s">
        <v>11</v>
      </c>
      <c r="F24" s="1">
        <v>9.0594999999999999</v>
      </c>
      <c r="G24" s="1">
        <v>8.3309999999999995</v>
      </c>
      <c r="H24" s="1">
        <v>2.8525</v>
      </c>
      <c r="J24" s="1">
        <v>2.8525</v>
      </c>
      <c r="K24" s="1">
        <v>1</v>
      </c>
      <c r="L24" s="1">
        <v>0</v>
      </c>
      <c r="M24" s="1">
        <v>2.1869999999999998</v>
      </c>
      <c r="N24" s="1">
        <v>2.7810000000000001</v>
      </c>
      <c r="O24" s="1">
        <v>7.6375000000000002</v>
      </c>
      <c r="Q24" s="1">
        <v>2.7810000000000001</v>
      </c>
      <c r="R24" s="1">
        <v>7.6375000000000002</v>
      </c>
      <c r="S24" s="1">
        <v>6.5249999999999897</v>
      </c>
      <c r="T24" s="1">
        <v>5.4329999999999901</v>
      </c>
      <c r="U24" s="1">
        <v>1.0165</v>
      </c>
      <c r="V24" s="1">
        <v>4.9439999999999902</v>
      </c>
      <c r="W24" s="1">
        <v>0.68300000000000005</v>
      </c>
      <c r="Y24" s="1">
        <v>3.1850000000000001</v>
      </c>
      <c r="Z24" s="1">
        <v>5.33</v>
      </c>
      <c r="AA24" s="1">
        <v>5.7509999999999897</v>
      </c>
      <c r="AB24" s="1">
        <v>4.78775</v>
      </c>
    </row>
    <row r="25" spans="1:28" ht="16" x14ac:dyDescent="0.2">
      <c r="A25" s="1">
        <v>194</v>
      </c>
      <c r="B25" s="1" t="s">
        <v>43</v>
      </c>
      <c r="C25" s="1" t="s">
        <v>41</v>
      </c>
      <c r="D25" s="1" t="s">
        <v>11</v>
      </c>
      <c r="F25" s="1">
        <v>9.2210000000000001</v>
      </c>
      <c r="G25" s="1">
        <v>8.1199999999999992</v>
      </c>
      <c r="H25" s="1">
        <v>2.8525</v>
      </c>
      <c r="J25" s="1">
        <v>2.8525</v>
      </c>
      <c r="K25" s="1">
        <v>2.6704999999999899</v>
      </c>
      <c r="L25" s="1">
        <v>0</v>
      </c>
      <c r="M25" s="1">
        <v>2.1869999999999998</v>
      </c>
      <c r="N25" s="1">
        <v>2.7810000000000001</v>
      </c>
      <c r="O25" s="1">
        <v>7.4480000000000004</v>
      </c>
      <c r="Q25" s="1">
        <v>2.7810000000000001</v>
      </c>
      <c r="R25" s="1">
        <v>7.4480000000000004</v>
      </c>
      <c r="S25" s="1">
        <v>5.2954999999999997</v>
      </c>
      <c r="T25" s="1">
        <v>5.56</v>
      </c>
      <c r="U25" s="1">
        <v>1.0169999999999999</v>
      </c>
      <c r="V25" s="1">
        <v>4.1397500000000003</v>
      </c>
      <c r="W25" s="1">
        <v>0.96550000000000002</v>
      </c>
      <c r="Y25" s="1">
        <v>2.1960000000000002</v>
      </c>
      <c r="Z25" s="1">
        <v>7.7035</v>
      </c>
      <c r="AA25" s="1">
        <v>4.9224999999999897</v>
      </c>
      <c r="AB25" s="1">
        <v>5.1050000000000004</v>
      </c>
    </row>
    <row r="26" spans="1:28" ht="16" x14ac:dyDescent="0.2">
      <c r="A26" s="1">
        <v>203</v>
      </c>
      <c r="B26" s="1" t="s">
        <v>44</v>
      </c>
      <c r="C26" s="1" t="s">
        <v>41</v>
      </c>
      <c r="D26" s="1" t="s">
        <v>11</v>
      </c>
      <c r="F26" s="1">
        <v>8.32</v>
      </c>
      <c r="G26" s="1">
        <v>7.7510000000000003</v>
      </c>
      <c r="H26" s="1">
        <v>2.8454999999999901</v>
      </c>
      <c r="J26" s="1">
        <v>2.8454999999999901</v>
      </c>
      <c r="K26" s="1">
        <v>4.8230000000000004</v>
      </c>
      <c r="L26" s="1">
        <v>2.4140000000000001</v>
      </c>
      <c r="M26" s="1">
        <v>2.1869999999999998</v>
      </c>
      <c r="N26" s="1">
        <v>4.03666666666666</v>
      </c>
      <c r="O26" s="1">
        <v>5.7714999999999996</v>
      </c>
      <c r="Q26" s="1">
        <v>4.03666666666666</v>
      </c>
      <c r="R26" s="1">
        <v>5.7714999999999996</v>
      </c>
      <c r="S26" s="1">
        <v>5.2954999999999997</v>
      </c>
      <c r="T26" s="1">
        <v>4.8496666666666597</v>
      </c>
      <c r="U26" s="1">
        <v>1.0175000000000001</v>
      </c>
      <c r="V26" s="1">
        <v>3.3227500000000001</v>
      </c>
      <c r="W26" s="1">
        <v>1.4929999999999899</v>
      </c>
      <c r="Y26" s="1">
        <v>2.3380000000000001</v>
      </c>
      <c r="Z26" s="1">
        <v>8.6675000000000004</v>
      </c>
      <c r="AA26" s="1">
        <v>6.1519999999999904</v>
      </c>
      <c r="AB26" s="1">
        <v>4.5532500000000002</v>
      </c>
    </row>
    <row r="27" spans="1:28" ht="16" x14ac:dyDescent="0.2">
      <c r="A27" s="1">
        <v>219</v>
      </c>
      <c r="B27" s="1" t="s">
        <v>45</v>
      </c>
      <c r="C27" s="1" t="s">
        <v>41</v>
      </c>
      <c r="D27" s="1" t="s">
        <v>11</v>
      </c>
      <c r="F27" s="1">
        <v>8.3160000000000007</v>
      </c>
      <c r="G27" s="1">
        <v>7.8230000000000004</v>
      </c>
      <c r="H27" s="1">
        <v>2.8525</v>
      </c>
      <c r="J27" s="1">
        <v>2.8525</v>
      </c>
      <c r="K27" s="1">
        <v>6.6224999999999996</v>
      </c>
      <c r="L27" s="1">
        <v>4.2530000000000001</v>
      </c>
      <c r="M27" s="1">
        <v>2.1869999999999998</v>
      </c>
      <c r="N27" s="1">
        <v>2.7810000000000001</v>
      </c>
      <c r="O27" s="1">
        <v>6.8955000000000002</v>
      </c>
      <c r="Q27" s="1">
        <v>2.7810000000000001</v>
      </c>
      <c r="R27" s="1">
        <v>6.8955000000000002</v>
      </c>
      <c r="S27" s="1">
        <v>5.2954999999999997</v>
      </c>
      <c r="T27" s="1">
        <v>5.3719999999999901</v>
      </c>
      <c r="U27" s="1">
        <v>1.1039999999999901</v>
      </c>
      <c r="V27" s="1">
        <v>2.6535000000000002</v>
      </c>
      <c r="W27" s="1">
        <v>2.2654999999999998</v>
      </c>
      <c r="Y27" s="1">
        <v>3.3895</v>
      </c>
      <c r="Z27" s="1">
        <v>8.7894999999999897</v>
      </c>
      <c r="AA27" s="1">
        <v>7.0774999999999997</v>
      </c>
      <c r="AB27" s="1">
        <v>4.4119999999999999</v>
      </c>
    </row>
    <row r="28" spans="1:28" ht="16" x14ac:dyDescent="0.2">
      <c r="A28" s="1">
        <v>228</v>
      </c>
      <c r="B28" s="1" t="s">
        <v>46</v>
      </c>
      <c r="C28" s="1" t="s">
        <v>47</v>
      </c>
      <c r="D28" s="1" t="s">
        <v>26</v>
      </c>
      <c r="F28" s="1">
        <v>9.3059999999999992</v>
      </c>
      <c r="G28" s="1">
        <v>8.5500000000000007</v>
      </c>
      <c r="H28" s="1">
        <v>8.7204999999999995</v>
      </c>
      <c r="J28" s="1">
        <v>8.7204999999999995</v>
      </c>
      <c r="K28" s="1">
        <v>4.6909999999999998</v>
      </c>
      <c r="L28" s="1">
        <v>3.1549999999999998</v>
      </c>
      <c r="M28" s="1">
        <v>3.2499999999999898</v>
      </c>
      <c r="N28" s="1">
        <v>5.2953333333333301</v>
      </c>
      <c r="O28" s="1">
        <v>6.7404999999999999</v>
      </c>
      <c r="Q28" s="1">
        <v>5.2953333333333301</v>
      </c>
      <c r="R28" s="1">
        <v>6.7404999999999999</v>
      </c>
      <c r="S28" s="1">
        <v>7.5504999999999898</v>
      </c>
      <c r="T28" s="1">
        <v>5.5866666666666598</v>
      </c>
      <c r="U28" s="1">
        <v>2.0145</v>
      </c>
      <c r="V28" s="1">
        <v>4.99925</v>
      </c>
      <c r="W28" s="1">
        <v>2.6665000000000001</v>
      </c>
      <c r="Y28" s="1">
        <v>6.2725</v>
      </c>
      <c r="Z28" s="1">
        <v>5.3184999999999896</v>
      </c>
      <c r="AA28" s="1">
        <v>4.0564999999999998</v>
      </c>
      <c r="AB28" s="1">
        <v>5.6219999999999999</v>
      </c>
    </row>
    <row r="29" spans="1:28" ht="16" x14ac:dyDescent="0.2">
      <c r="A29" s="1">
        <v>139</v>
      </c>
      <c r="B29" s="1" t="s">
        <v>48</v>
      </c>
      <c r="C29" s="1" t="s">
        <v>49</v>
      </c>
      <c r="D29" s="1" t="s">
        <v>6</v>
      </c>
      <c r="F29" s="1">
        <v>1.5274999999999901</v>
      </c>
      <c r="G29" s="1">
        <v>4.556</v>
      </c>
      <c r="H29" s="1">
        <v>4.7675000000000001</v>
      </c>
      <c r="J29" s="1">
        <v>4.7675000000000001</v>
      </c>
      <c r="K29" s="1">
        <v>10</v>
      </c>
      <c r="L29" s="1">
        <v>10</v>
      </c>
      <c r="M29" s="1">
        <v>6.5145</v>
      </c>
      <c r="N29" s="1">
        <v>8.5746666666666602</v>
      </c>
      <c r="O29" s="1">
        <v>6.9599999999999902</v>
      </c>
      <c r="Q29" s="1">
        <v>8.5746666666666602</v>
      </c>
      <c r="R29" s="1">
        <v>6.9599999999999902</v>
      </c>
      <c r="S29" s="1">
        <v>5.7050000000000001</v>
      </c>
      <c r="T29" s="1">
        <v>6.0273333333333303</v>
      </c>
      <c r="U29" s="1">
        <v>8.6244999999999994</v>
      </c>
      <c r="V29" s="1">
        <v>4.7314999999999996</v>
      </c>
      <c r="W29" s="1">
        <v>3.9584999999999999</v>
      </c>
      <c r="Y29" s="1">
        <v>5.4965000000000002</v>
      </c>
      <c r="Z29" s="1">
        <v>9.1959999999999997</v>
      </c>
      <c r="AA29" s="1">
        <v>6.7469999999999999</v>
      </c>
      <c r="AB29" s="1">
        <v>3.677</v>
      </c>
    </row>
    <row r="30" spans="1:28" ht="16" x14ac:dyDescent="0.2">
      <c r="A30" s="1">
        <v>182</v>
      </c>
      <c r="B30" s="1" t="s">
        <v>50</v>
      </c>
      <c r="C30" s="1" t="s">
        <v>49</v>
      </c>
      <c r="D30" s="1" t="s">
        <v>6</v>
      </c>
      <c r="F30" s="1">
        <v>0.5</v>
      </c>
      <c r="G30" s="1">
        <v>0</v>
      </c>
      <c r="H30" s="1">
        <v>4.4880000000000004</v>
      </c>
      <c r="J30" s="1">
        <v>4.4880000000000004</v>
      </c>
      <c r="K30" s="1">
        <v>8.2944999999999993</v>
      </c>
      <c r="L30" s="1">
        <v>9.6229999999999993</v>
      </c>
      <c r="M30" s="1">
        <v>6.5145</v>
      </c>
      <c r="N30" s="1">
        <v>8.6709999999999994</v>
      </c>
      <c r="O30" s="1">
        <v>8.4540000000000006</v>
      </c>
      <c r="Q30" s="1">
        <v>8.6709999999999994</v>
      </c>
      <c r="R30" s="1">
        <v>8.4540000000000006</v>
      </c>
      <c r="S30" s="1">
        <v>7.6369999999999996</v>
      </c>
      <c r="T30" s="1">
        <v>6.5149999999999997</v>
      </c>
      <c r="U30" s="1">
        <v>3.6244999999999998</v>
      </c>
      <c r="V30" s="1">
        <v>6.7264999999999997</v>
      </c>
      <c r="W30" s="1">
        <v>3.1505000000000001</v>
      </c>
      <c r="Y30" s="1">
        <v>7.1420000000000003</v>
      </c>
      <c r="Z30" s="1">
        <v>0</v>
      </c>
      <c r="AA30" s="1">
        <v>1.75</v>
      </c>
      <c r="AB30" s="1">
        <v>2.2027499999999902</v>
      </c>
    </row>
    <row r="31" spans="1:28" ht="16" x14ac:dyDescent="0.2">
      <c r="A31" s="1">
        <v>211</v>
      </c>
      <c r="B31" s="1" t="s">
        <v>51</v>
      </c>
      <c r="C31" s="1" t="s">
        <v>49</v>
      </c>
      <c r="D31" s="1" t="s">
        <v>6</v>
      </c>
      <c r="F31" s="1">
        <v>2.9335</v>
      </c>
      <c r="G31" s="1">
        <v>5.1559999999999997</v>
      </c>
      <c r="H31" s="1">
        <v>4.4880000000000004</v>
      </c>
      <c r="J31" s="1">
        <v>4.4880000000000004</v>
      </c>
      <c r="K31" s="1">
        <v>8.3505000000000003</v>
      </c>
      <c r="L31" s="1">
        <v>8.5950000000000006</v>
      </c>
      <c r="M31" s="1">
        <v>6.5145</v>
      </c>
      <c r="N31" s="1">
        <v>8.6709999999999994</v>
      </c>
      <c r="O31" s="1">
        <v>8.5395000000000003</v>
      </c>
      <c r="Q31" s="1">
        <v>8.6709999999999994</v>
      </c>
      <c r="R31" s="1">
        <v>8.5395000000000003</v>
      </c>
      <c r="S31" s="1">
        <v>6.9329999999999998</v>
      </c>
      <c r="T31" s="1">
        <v>6.5196666666666596</v>
      </c>
      <c r="U31" s="1">
        <v>5.4574999999999996</v>
      </c>
      <c r="V31" s="1">
        <v>7.2672499999999998</v>
      </c>
      <c r="W31" s="1">
        <v>2.6219999999999999</v>
      </c>
      <c r="Y31" s="1">
        <v>5.9989999999999997</v>
      </c>
      <c r="Z31" s="1">
        <v>8.2100000000000009</v>
      </c>
      <c r="AA31" s="1">
        <v>6.3959999999999999</v>
      </c>
      <c r="AB31" s="1">
        <v>4.4097499999999998</v>
      </c>
    </row>
    <row r="32" spans="1:28" ht="32" x14ac:dyDescent="0.2">
      <c r="A32" s="1">
        <v>212</v>
      </c>
      <c r="B32" s="1" t="s">
        <v>52</v>
      </c>
      <c r="C32" s="1" t="s">
        <v>49</v>
      </c>
      <c r="D32" s="1" t="s">
        <v>6</v>
      </c>
      <c r="F32" s="1">
        <v>1</v>
      </c>
      <c r="G32" s="1">
        <v>2.6179999999999999</v>
      </c>
      <c r="H32" s="1">
        <v>4.4880000000000004</v>
      </c>
      <c r="J32" s="1">
        <v>4.4880000000000004</v>
      </c>
      <c r="K32" s="1">
        <v>10</v>
      </c>
      <c r="L32" s="1">
        <v>10</v>
      </c>
      <c r="M32" s="1">
        <v>6.5145</v>
      </c>
      <c r="N32" s="1">
        <v>8.6709999999999994</v>
      </c>
      <c r="O32" s="1">
        <v>8.0124999999999993</v>
      </c>
      <c r="Q32" s="1">
        <v>8.6709999999999994</v>
      </c>
      <c r="R32" s="1">
        <v>8.0124999999999993</v>
      </c>
      <c r="S32" s="1">
        <v>5.7154999999999996</v>
      </c>
      <c r="T32" s="1">
        <v>6.4489999999999901</v>
      </c>
      <c r="U32" s="1">
        <v>8.6244999999999994</v>
      </c>
      <c r="V32" s="1">
        <v>6.4814999999999996</v>
      </c>
      <c r="W32" s="1">
        <v>3.6545000000000001</v>
      </c>
      <c r="Y32" s="1">
        <v>5.6055000000000001</v>
      </c>
      <c r="Z32" s="1">
        <v>9.407</v>
      </c>
      <c r="AA32" s="1">
        <v>7.0140000000000002</v>
      </c>
      <c r="AB32" s="1">
        <v>4.6872499999999997</v>
      </c>
    </row>
    <row r="33" spans="1:28" ht="32" x14ac:dyDescent="0.2">
      <c r="A33" s="1">
        <v>215</v>
      </c>
      <c r="B33" s="1" t="s">
        <v>53</v>
      </c>
      <c r="C33" s="1" t="s">
        <v>49</v>
      </c>
      <c r="D33" s="1" t="s">
        <v>6</v>
      </c>
      <c r="F33" s="1">
        <v>1.7244999999999999</v>
      </c>
      <c r="G33" s="1">
        <v>0</v>
      </c>
      <c r="H33" s="1">
        <v>4.4880000000000004</v>
      </c>
      <c r="J33" s="1">
        <v>4.4880000000000004</v>
      </c>
      <c r="K33" s="1">
        <v>3.8279999999999998</v>
      </c>
      <c r="L33" s="1">
        <v>3.077</v>
      </c>
      <c r="M33" s="1">
        <v>6.5145</v>
      </c>
      <c r="N33" s="1">
        <v>8.6709999999999994</v>
      </c>
      <c r="O33" s="1">
        <v>9.6660000000000004</v>
      </c>
      <c r="Q33" s="1">
        <v>8.6709999999999994</v>
      </c>
      <c r="R33" s="1">
        <v>9.6660000000000004</v>
      </c>
      <c r="S33" s="1">
        <v>8.0579999999999998</v>
      </c>
      <c r="T33" s="1">
        <v>5.8713333333333297</v>
      </c>
      <c r="U33" s="1">
        <v>3.6244999999999998</v>
      </c>
      <c r="V33" s="1">
        <v>7.3920000000000003</v>
      </c>
      <c r="W33" s="1">
        <v>1.1339999999999999</v>
      </c>
      <c r="Y33" s="1">
        <v>7.9355000000000002</v>
      </c>
      <c r="Z33" s="1">
        <v>2.7765</v>
      </c>
      <c r="AA33" s="1">
        <v>1.5075000000000001</v>
      </c>
      <c r="AB33" s="1">
        <v>1.39224999999999</v>
      </c>
    </row>
    <row r="34" spans="1:28" ht="16" x14ac:dyDescent="0.2">
      <c r="A34" s="1">
        <v>187</v>
      </c>
      <c r="B34" s="1" t="s">
        <v>54</v>
      </c>
      <c r="C34" s="1" t="s">
        <v>55</v>
      </c>
      <c r="D34" s="1" t="s">
        <v>16</v>
      </c>
      <c r="F34" s="1">
        <v>8.5519999999999996</v>
      </c>
      <c r="G34" s="1">
        <v>8.0009999999999994</v>
      </c>
      <c r="H34" s="1">
        <v>7.984</v>
      </c>
      <c r="J34" s="1">
        <v>7.984</v>
      </c>
      <c r="K34" s="1">
        <v>1.4975000000000001</v>
      </c>
      <c r="L34" s="1">
        <v>0</v>
      </c>
      <c r="M34" s="1">
        <v>5.3799999999999901</v>
      </c>
      <c r="N34" s="1">
        <v>0.999999999999999</v>
      </c>
      <c r="O34" s="1">
        <v>6.0305</v>
      </c>
      <c r="Q34" s="1">
        <v>0.999999999999999</v>
      </c>
      <c r="R34" s="1">
        <v>6.0305</v>
      </c>
      <c r="S34" s="1">
        <v>6.6840000000000002</v>
      </c>
      <c r="T34" s="1">
        <v>2.984</v>
      </c>
      <c r="U34" s="1">
        <v>0</v>
      </c>
      <c r="V34" s="1">
        <v>2.4482499999999998</v>
      </c>
      <c r="W34" s="1">
        <v>1.2395</v>
      </c>
      <c r="Y34" s="1">
        <v>3.3949999999999898</v>
      </c>
      <c r="Z34" s="1">
        <v>5.407</v>
      </c>
      <c r="AA34" s="1">
        <v>3.4329999999999998</v>
      </c>
      <c r="AB34" s="1">
        <v>4.68</v>
      </c>
    </row>
    <row r="35" spans="1:28" ht="16" x14ac:dyDescent="0.2">
      <c r="A35" s="1">
        <v>197</v>
      </c>
      <c r="B35" s="1" t="s">
        <v>56</v>
      </c>
      <c r="C35" s="1" t="s">
        <v>57</v>
      </c>
      <c r="D35" s="1" t="s">
        <v>26</v>
      </c>
      <c r="F35" s="1">
        <v>8.5175000000000001</v>
      </c>
      <c r="G35" s="1">
        <v>6.0369999999999999</v>
      </c>
      <c r="H35" s="1">
        <v>7.2744999999999997</v>
      </c>
      <c r="J35" s="1">
        <v>7.2744999999999997</v>
      </c>
      <c r="K35" s="1">
        <v>3.7345000000000002</v>
      </c>
      <c r="L35" s="1">
        <v>2.2370000000000001</v>
      </c>
      <c r="M35" s="1">
        <v>5.8404999999999996</v>
      </c>
      <c r="N35" s="1">
        <v>8.9659999999999993</v>
      </c>
      <c r="O35" s="1">
        <v>8.6219999999999999</v>
      </c>
      <c r="Q35" s="1">
        <v>8.9659999999999993</v>
      </c>
      <c r="R35" s="1">
        <v>8.6219999999999999</v>
      </c>
      <c r="S35" s="1">
        <v>9.1594999999999995</v>
      </c>
      <c r="T35" s="1">
        <v>8.1313333333333304</v>
      </c>
      <c r="U35" s="1">
        <v>5.42</v>
      </c>
      <c r="V35" s="1">
        <v>7.3155000000000001</v>
      </c>
      <c r="W35" s="1">
        <v>1.3815</v>
      </c>
      <c r="Y35" s="1">
        <v>3.2985000000000002</v>
      </c>
      <c r="Z35" s="1">
        <v>5.6364999999999998</v>
      </c>
      <c r="AA35" s="1">
        <v>4.7189999999999896</v>
      </c>
      <c r="AB35" s="1">
        <v>5.2799999999999896</v>
      </c>
    </row>
    <row r="36" spans="1:28" ht="16" x14ac:dyDescent="0.2">
      <c r="A36" s="1">
        <v>49</v>
      </c>
      <c r="B36" s="1" t="s">
        <v>58</v>
      </c>
      <c r="C36" s="1" t="s">
        <v>57</v>
      </c>
      <c r="D36" s="1" t="s">
        <v>6</v>
      </c>
      <c r="F36" s="1">
        <v>6.4950000000000001</v>
      </c>
      <c r="G36" s="1">
        <v>5.4179999999999904</v>
      </c>
      <c r="H36" s="1">
        <v>7.2744999999999997</v>
      </c>
      <c r="J36" s="1">
        <v>7.2744999999999997</v>
      </c>
      <c r="K36" s="1">
        <v>5.9494999999999996</v>
      </c>
      <c r="L36" s="1">
        <v>2.0359999999999898</v>
      </c>
      <c r="M36" s="1">
        <v>5.8404999999999996</v>
      </c>
      <c r="N36" s="1">
        <v>8.9659999999999993</v>
      </c>
      <c r="O36" s="1">
        <v>8.1105</v>
      </c>
      <c r="Q36" s="1">
        <v>8.9659999999999993</v>
      </c>
      <c r="R36" s="1">
        <v>8.1105</v>
      </c>
      <c r="S36" s="1">
        <v>7.923</v>
      </c>
      <c r="T36" s="1">
        <v>8.02633333333333</v>
      </c>
      <c r="U36" s="1">
        <v>5.5549999999999997</v>
      </c>
      <c r="V36" s="1">
        <v>8.1914999999999907</v>
      </c>
      <c r="W36" s="1">
        <v>2.5139999999999998</v>
      </c>
      <c r="Y36" s="1">
        <v>5.6704999999999997</v>
      </c>
      <c r="Z36" s="1">
        <v>4.2679999999999998</v>
      </c>
      <c r="AA36" s="1">
        <v>7.5044999999999904</v>
      </c>
      <c r="AB36" s="1">
        <v>5.1574999999999998</v>
      </c>
    </row>
    <row r="37" spans="1:28" ht="16" x14ac:dyDescent="0.2">
      <c r="A37" s="1">
        <v>84</v>
      </c>
      <c r="B37" s="1" t="s">
        <v>59</v>
      </c>
      <c r="C37" s="1" t="s">
        <v>57</v>
      </c>
      <c r="D37" s="1" t="s">
        <v>6</v>
      </c>
      <c r="F37" s="1">
        <v>6.7294999999999998</v>
      </c>
      <c r="G37" s="1">
        <v>5.5220000000000002</v>
      </c>
      <c r="H37" s="1">
        <v>7.2744999999999997</v>
      </c>
      <c r="J37" s="1">
        <v>7.2744999999999997</v>
      </c>
      <c r="K37" s="1">
        <v>4.6239999999999997</v>
      </c>
      <c r="L37" s="1">
        <v>2.3919999999999999</v>
      </c>
      <c r="M37" s="1">
        <v>5.8404999999999996</v>
      </c>
      <c r="N37" s="1">
        <v>8.9659999999999993</v>
      </c>
      <c r="O37" s="1">
        <v>7.9254999999999898</v>
      </c>
      <c r="Q37" s="1">
        <v>8.9659999999999993</v>
      </c>
      <c r="R37" s="1">
        <v>7.9254999999999898</v>
      </c>
      <c r="S37" s="1">
        <v>7.1174999999999997</v>
      </c>
      <c r="T37" s="1">
        <v>8.2690000000000001</v>
      </c>
      <c r="U37" s="1">
        <v>5.9480000000000004</v>
      </c>
      <c r="V37" s="1">
        <v>8.1757500000000007</v>
      </c>
      <c r="W37" s="1">
        <v>1.9019999999999899</v>
      </c>
      <c r="Y37" s="1">
        <v>4.6099999999999897</v>
      </c>
      <c r="Z37" s="1">
        <v>3.97399999999999</v>
      </c>
      <c r="AA37" s="1">
        <v>3.3849999999999998</v>
      </c>
      <c r="AB37" s="1">
        <v>5.0972499999999998</v>
      </c>
    </row>
    <row r="38" spans="1:28" ht="16" x14ac:dyDescent="0.2">
      <c r="A38" s="1">
        <v>101</v>
      </c>
      <c r="B38" s="1" t="s">
        <v>60</v>
      </c>
      <c r="C38" s="1" t="s">
        <v>57</v>
      </c>
      <c r="D38" s="1" t="s">
        <v>6</v>
      </c>
      <c r="F38" s="1">
        <v>6.8949999999999996</v>
      </c>
      <c r="G38" s="1">
        <v>4.9429999999999996</v>
      </c>
      <c r="H38" s="1">
        <v>7.2744999999999997</v>
      </c>
      <c r="J38" s="1">
        <v>7.2744999999999997</v>
      </c>
      <c r="K38" s="1">
        <v>3.6240000000000001</v>
      </c>
      <c r="L38" s="1">
        <v>2.2839999999999998</v>
      </c>
      <c r="M38" s="1">
        <v>5.8404999999999996</v>
      </c>
      <c r="N38" s="1">
        <v>8.9659999999999993</v>
      </c>
      <c r="O38" s="1">
        <v>7.8534999999999897</v>
      </c>
      <c r="Q38" s="1">
        <v>8.9659999999999993</v>
      </c>
      <c r="R38" s="1">
        <v>7.8534999999999897</v>
      </c>
      <c r="S38" s="1">
        <v>7.1885000000000003</v>
      </c>
      <c r="T38" s="1">
        <v>7.8856666666666602</v>
      </c>
      <c r="U38" s="1">
        <v>5.42</v>
      </c>
      <c r="V38" s="1">
        <v>7.6184999999999903</v>
      </c>
      <c r="W38" s="1">
        <v>1.5699999999999901</v>
      </c>
      <c r="Y38" s="1">
        <v>6.1234999999999999</v>
      </c>
      <c r="Z38" s="1">
        <v>3.9420000000000002</v>
      </c>
      <c r="AA38" s="1">
        <v>4.0229999999999997</v>
      </c>
      <c r="AB38" s="1">
        <v>5.4027500000000002</v>
      </c>
    </row>
    <row r="39" spans="1:28" ht="16" x14ac:dyDescent="0.2">
      <c r="A39" s="1">
        <v>162</v>
      </c>
      <c r="B39" s="1" t="s">
        <v>61</v>
      </c>
      <c r="C39" s="1" t="s">
        <v>57</v>
      </c>
      <c r="D39" s="1" t="s">
        <v>6</v>
      </c>
      <c r="F39" s="1">
        <v>7.3920000000000003</v>
      </c>
      <c r="G39" s="1">
        <v>5.9480000000000004</v>
      </c>
      <c r="H39" s="1">
        <v>7.2744999999999997</v>
      </c>
      <c r="J39" s="1">
        <v>7.2744999999999997</v>
      </c>
      <c r="K39" s="1">
        <v>8.1024999999999991</v>
      </c>
      <c r="L39" s="1">
        <v>5.7729999999999997</v>
      </c>
      <c r="M39" s="1">
        <v>5.8404999999999996</v>
      </c>
      <c r="N39" s="1">
        <v>8.9659999999999993</v>
      </c>
      <c r="O39" s="1">
        <v>8.1929999999999996</v>
      </c>
      <c r="Q39" s="1">
        <v>8.9659999999999993</v>
      </c>
      <c r="R39" s="1">
        <v>8.1929999999999996</v>
      </c>
      <c r="S39" s="1">
        <v>7.8220000000000001</v>
      </c>
      <c r="T39" s="1">
        <v>7.3949999999999996</v>
      </c>
      <c r="U39" s="1">
        <v>7.2990000000000004</v>
      </c>
      <c r="V39" s="1">
        <v>7.7214999999999998</v>
      </c>
      <c r="W39" s="1">
        <v>3.4430000000000001</v>
      </c>
      <c r="Y39" s="1">
        <v>4.4779999999999998</v>
      </c>
      <c r="Z39" s="1">
        <v>6.9174999999999898</v>
      </c>
      <c r="AA39" s="1">
        <v>5.3029999999999999</v>
      </c>
      <c r="AB39" s="1">
        <v>5.1070000000000002</v>
      </c>
    </row>
    <row r="40" spans="1:28" ht="16" x14ac:dyDescent="0.2">
      <c r="A40" s="1">
        <v>179</v>
      </c>
      <c r="B40" s="1" t="s">
        <v>62</v>
      </c>
      <c r="C40" s="1" t="s">
        <v>57</v>
      </c>
      <c r="D40" s="1" t="s">
        <v>6</v>
      </c>
      <c r="F40" s="1">
        <v>6.7004999999999901</v>
      </c>
      <c r="G40" s="1">
        <v>6.0270000000000001</v>
      </c>
      <c r="H40" s="1">
        <v>7.2744999999999997</v>
      </c>
      <c r="J40" s="1">
        <v>7.2744999999999997</v>
      </c>
      <c r="K40" s="1">
        <v>6.0549999999999997</v>
      </c>
      <c r="L40" s="1">
        <v>2.6120000000000001</v>
      </c>
      <c r="M40" s="1">
        <v>5.8404999999999996</v>
      </c>
      <c r="N40" s="1">
        <v>8.9659999999999993</v>
      </c>
      <c r="O40" s="1">
        <v>8.6295000000000002</v>
      </c>
      <c r="Q40" s="1">
        <v>8.9659999999999993</v>
      </c>
      <c r="R40" s="1">
        <v>8.6295000000000002</v>
      </c>
      <c r="S40" s="1">
        <v>8.4474999999999998</v>
      </c>
      <c r="T40" s="1">
        <v>8.0113333333333294</v>
      </c>
      <c r="U40" s="1">
        <v>5.4234999999999998</v>
      </c>
      <c r="V40" s="1">
        <v>9.2922499999999992</v>
      </c>
      <c r="W40" s="1">
        <v>1.532</v>
      </c>
      <c r="Y40" s="1">
        <v>6.2674999999999903</v>
      </c>
      <c r="Z40" s="1">
        <v>6.0919999999999996</v>
      </c>
      <c r="AA40" s="1">
        <v>5.3184999999999896</v>
      </c>
      <c r="AB40" s="1">
        <v>5.4052499999999997</v>
      </c>
    </row>
    <row r="41" spans="1:28" ht="16" x14ac:dyDescent="0.2">
      <c r="A41" s="1">
        <v>221</v>
      </c>
      <c r="B41" s="1" t="s">
        <v>63</v>
      </c>
      <c r="C41" s="1" t="s">
        <v>57</v>
      </c>
      <c r="D41" s="1" t="s">
        <v>6</v>
      </c>
      <c r="F41" s="1">
        <v>7.1595000000000004</v>
      </c>
      <c r="G41" s="1">
        <v>5.0419999999999998</v>
      </c>
      <c r="H41" s="1">
        <v>7.2744999999999997</v>
      </c>
      <c r="J41" s="1">
        <v>7.2744999999999997</v>
      </c>
      <c r="K41" s="1">
        <v>3.1145</v>
      </c>
      <c r="L41" s="1">
        <v>0</v>
      </c>
      <c r="M41" s="1">
        <v>5.8404999999999996</v>
      </c>
      <c r="N41" s="1">
        <v>8.9659999999999993</v>
      </c>
      <c r="O41" s="1">
        <v>7.3359999999999896</v>
      </c>
      <c r="Q41" s="1">
        <v>8.9659999999999993</v>
      </c>
      <c r="R41" s="1">
        <v>7.3359999999999896</v>
      </c>
      <c r="S41" s="1">
        <v>6.6379999999999999</v>
      </c>
      <c r="T41" s="1">
        <v>7.5139999999999896</v>
      </c>
      <c r="U41" s="1">
        <v>5.3440000000000003</v>
      </c>
      <c r="V41" s="1">
        <v>7.7579999999999902</v>
      </c>
      <c r="W41" s="1">
        <v>1.2585</v>
      </c>
      <c r="Y41" s="1">
        <v>4.8899999999999997</v>
      </c>
      <c r="Z41" s="1">
        <v>1</v>
      </c>
      <c r="AA41" s="1">
        <v>0.5</v>
      </c>
      <c r="AB41" s="1">
        <v>5.8055000000000003</v>
      </c>
    </row>
    <row r="42" spans="1:28" ht="16" x14ac:dyDescent="0.2">
      <c r="A42" s="1">
        <v>245</v>
      </c>
      <c r="B42" s="1" t="s">
        <v>64</v>
      </c>
      <c r="C42" s="1" t="s">
        <v>57</v>
      </c>
      <c r="D42" s="1" t="s">
        <v>6</v>
      </c>
      <c r="F42" s="1">
        <v>4.66</v>
      </c>
      <c r="G42" s="1">
        <v>5.2709999999999999</v>
      </c>
      <c r="H42" s="1">
        <v>7.2744999999999997</v>
      </c>
      <c r="J42" s="1">
        <v>7.2744999999999997</v>
      </c>
      <c r="K42" s="1">
        <v>9.9809999999999999</v>
      </c>
      <c r="L42" s="1">
        <v>7.6020000000000003</v>
      </c>
      <c r="M42" s="1">
        <v>5.8404999999999996</v>
      </c>
      <c r="N42" s="1">
        <v>8.9659999999999993</v>
      </c>
      <c r="O42" s="1">
        <v>7.9279999999999999</v>
      </c>
      <c r="Q42" s="1">
        <v>8.9659999999999993</v>
      </c>
      <c r="R42" s="1">
        <v>7.9279999999999999</v>
      </c>
      <c r="S42" s="1">
        <v>7.6935000000000002</v>
      </c>
      <c r="T42" s="1">
        <v>8.0636666666666592</v>
      </c>
      <c r="U42" s="1">
        <v>7.6025</v>
      </c>
      <c r="V42" s="1">
        <v>7.1775000000000002</v>
      </c>
      <c r="W42" s="1">
        <v>4.335</v>
      </c>
      <c r="Y42" s="1">
        <v>4.383</v>
      </c>
      <c r="Z42" s="1">
        <v>7.8259999999999996</v>
      </c>
      <c r="AA42" s="1">
        <v>5.5940000000000003</v>
      </c>
      <c r="AB42" s="1">
        <v>4.6829999999999998</v>
      </c>
    </row>
    <row r="43" spans="1:28" ht="16" x14ac:dyDescent="0.2">
      <c r="A43" s="1">
        <v>254</v>
      </c>
      <c r="B43" s="1" t="s">
        <v>65</v>
      </c>
      <c r="C43" s="1" t="s">
        <v>57</v>
      </c>
      <c r="D43" s="1" t="s">
        <v>6</v>
      </c>
      <c r="F43" s="1">
        <v>4.0804999999999998</v>
      </c>
      <c r="G43" s="1">
        <v>5.2590000000000003</v>
      </c>
      <c r="H43" s="1">
        <v>7.2744999999999997</v>
      </c>
      <c r="J43" s="1">
        <v>7.2744999999999997</v>
      </c>
      <c r="K43" s="1">
        <v>8.17</v>
      </c>
      <c r="L43" s="1">
        <v>5.8419999999999996</v>
      </c>
      <c r="M43" s="1">
        <v>5.8404999999999996</v>
      </c>
      <c r="N43" s="1">
        <v>8.9659999999999993</v>
      </c>
      <c r="O43" s="1">
        <v>8.2949999999999999</v>
      </c>
      <c r="Q43" s="1">
        <v>8.9659999999999993</v>
      </c>
      <c r="R43" s="1">
        <v>8.2949999999999999</v>
      </c>
      <c r="S43" s="1">
        <v>7.5694999999999997</v>
      </c>
      <c r="T43" s="1">
        <v>8.0376666666666594</v>
      </c>
      <c r="U43" s="1">
        <v>6.8890000000000002</v>
      </c>
      <c r="V43" s="1">
        <v>8.4232499999999995</v>
      </c>
      <c r="W43" s="1">
        <v>2.7709999999999999</v>
      </c>
      <c r="Y43" s="1">
        <v>4.5505000000000004</v>
      </c>
      <c r="Z43" s="1">
        <v>5.7169999999999996</v>
      </c>
      <c r="AA43" s="1">
        <v>7.4</v>
      </c>
      <c r="AB43" s="1">
        <v>4.93675</v>
      </c>
    </row>
    <row r="44" spans="1:28" ht="16" x14ac:dyDescent="0.2">
      <c r="A44" s="1">
        <v>255</v>
      </c>
      <c r="B44" s="1" t="s">
        <v>66</v>
      </c>
      <c r="C44" s="1" t="s">
        <v>57</v>
      </c>
      <c r="D44" s="1" t="s">
        <v>6</v>
      </c>
      <c r="F44" s="1">
        <v>5.6959999999999997</v>
      </c>
      <c r="G44" s="1">
        <v>5.7030000000000003</v>
      </c>
      <c r="H44" s="1">
        <v>7.2744999999999997</v>
      </c>
      <c r="J44" s="1">
        <v>7.2744999999999997</v>
      </c>
      <c r="K44" s="1">
        <v>4.4790000000000001</v>
      </c>
      <c r="L44" s="1">
        <v>2.7189999999999999</v>
      </c>
      <c r="M44" s="1">
        <v>5.8404999999999996</v>
      </c>
      <c r="N44" s="1">
        <v>8.9659999999999993</v>
      </c>
      <c r="O44" s="1">
        <v>8.7825000000000006</v>
      </c>
      <c r="Q44" s="1">
        <v>8.9659999999999993</v>
      </c>
      <c r="R44" s="1">
        <v>8.7825000000000006</v>
      </c>
      <c r="S44" s="1">
        <v>7.8079999999999998</v>
      </c>
      <c r="T44" s="1">
        <v>7.6929999999999996</v>
      </c>
      <c r="U44" s="1">
        <v>5.3815</v>
      </c>
      <c r="V44" s="1">
        <v>9.2947500000000005</v>
      </c>
      <c r="W44" s="1">
        <v>1.4944999999999999</v>
      </c>
      <c r="Y44" s="1">
        <v>6.1949999999999896</v>
      </c>
      <c r="Z44" s="1">
        <v>4.5229999999999997</v>
      </c>
      <c r="AA44" s="1">
        <v>4.3555000000000001</v>
      </c>
      <c r="AB44" s="1">
        <v>5.226</v>
      </c>
    </row>
    <row r="45" spans="1:28" ht="16" x14ac:dyDescent="0.2">
      <c r="A45" s="1">
        <v>261</v>
      </c>
      <c r="B45" s="1" t="s">
        <v>67</v>
      </c>
      <c r="C45" s="1" t="s">
        <v>57</v>
      </c>
      <c r="D45" s="1" t="s">
        <v>6</v>
      </c>
      <c r="F45" s="1">
        <v>7.5525000000000002</v>
      </c>
      <c r="G45" s="1">
        <v>5.8819999999999997</v>
      </c>
      <c r="H45" s="1">
        <v>7.2744999999999997</v>
      </c>
      <c r="J45" s="1">
        <v>7.2744999999999997</v>
      </c>
      <c r="K45" s="1">
        <v>3.7965</v>
      </c>
      <c r="L45" s="1">
        <v>0</v>
      </c>
      <c r="M45" s="1">
        <v>5.8404999999999996</v>
      </c>
      <c r="N45" s="1">
        <v>8.9659999999999993</v>
      </c>
      <c r="O45" s="1">
        <v>6.6589999999999998</v>
      </c>
      <c r="Q45" s="1">
        <v>8.9659999999999993</v>
      </c>
      <c r="R45" s="1">
        <v>6.6589999999999998</v>
      </c>
      <c r="S45" s="1">
        <v>6.0155000000000003</v>
      </c>
      <c r="T45" s="1">
        <v>7.7556666666666603</v>
      </c>
      <c r="U45" s="1">
        <v>5.3440000000000003</v>
      </c>
      <c r="V45" s="1">
        <v>5.6747500000000004</v>
      </c>
      <c r="W45" s="1">
        <v>1.47549999999999</v>
      </c>
      <c r="Y45" s="1">
        <v>4.9024999999999999</v>
      </c>
      <c r="Z45" s="1">
        <v>4.6879999999999997</v>
      </c>
      <c r="AA45" s="1">
        <v>4.2430000000000003</v>
      </c>
      <c r="AB45" s="1">
        <v>5.1044999999999998</v>
      </c>
    </row>
    <row r="46" spans="1:28" ht="16" x14ac:dyDescent="0.2">
      <c r="A46" s="1">
        <v>217</v>
      </c>
      <c r="B46" s="1" t="s">
        <v>68</v>
      </c>
      <c r="C46" s="1" t="s">
        <v>69</v>
      </c>
      <c r="D46" s="1" t="s">
        <v>11</v>
      </c>
      <c r="F46" s="1">
        <v>8.3815000000000008</v>
      </c>
      <c r="G46" s="1">
        <v>7.2370000000000001</v>
      </c>
      <c r="H46" s="1">
        <v>8.9294999999999902</v>
      </c>
      <c r="J46" s="1">
        <v>8.9294999999999902</v>
      </c>
      <c r="K46" s="1">
        <v>6.2305000000000001</v>
      </c>
      <c r="L46" s="1">
        <v>1</v>
      </c>
      <c r="M46" s="1">
        <v>3.7250000000000001</v>
      </c>
      <c r="N46" s="1">
        <v>7.7649999999999997</v>
      </c>
      <c r="O46" s="1">
        <v>7.1715</v>
      </c>
      <c r="Q46" s="1">
        <v>7.7649999999999997</v>
      </c>
      <c r="R46" s="1">
        <v>7.1715</v>
      </c>
      <c r="S46" s="1">
        <v>6.9645000000000001</v>
      </c>
      <c r="T46" s="1">
        <v>7.0659999999999998</v>
      </c>
      <c r="U46" s="1">
        <v>2.6415000000000002</v>
      </c>
      <c r="V46" s="1">
        <v>4.5279999999999996</v>
      </c>
      <c r="W46" s="1">
        <v>2.5354999999999999</v>
      </c>
      <c r="Y46" s="1">
        <v>1</v>
      </c>
      <c r="Z46" s="1">
        <v>7.556</v>
      </c>
      <c r="AA46" s="1">
        <v>5.4999999999999902</v>
      </c>
      <c r="AB46" s="1">
        <v>5.5509999999999904</v>
      </c>
    </row>
    <row r="47" spans="1:28" ht="16" x14ac:dyDescent="0.2">
      <c r="A47" s="1">
        <v>19</v>
      </c>
      <c r="B47" s="1" t="s">
        <v>70</v>
      </c>
      <c r="C47" s="1" t="s">
        <v>71</v>
      </c>
      <c r="D47" s="1" t="s">
        <v>16</v>
      </c>
      <c r="F47" s="1">
        <v>6.173</v>
      </c>
      <c r="G47" s="1">
        <v>8.1010000000000009</v>
      </c>
      <c r="H47" s="1">
        <v>1.4259999999999999</v>
      </c>
      <c r="J47" s="1">
        <v>1.4259999999999999</v>
      </c>
      <c r="K47" s="1">
        <v>4.8719999999999999</v>
      </c>
      <c r="L47" s="1">
        <v>9.5619999999999994</v>
      </c>
      <c r="M47" s="1">
        <v>6.1029999999999998</v>
      </c>
      <c r="N47" s="1">
        <v>3.8153333333333301</v>
      </c>
      <c r="O47" s="1">
        <v>2.8220000000000001</v>
      </c>
      <c r="Q47" s="1">
        <v>3.8153333333333301</v>
      </c>
      <c r="R47" s="1">
        <v>2.8220000000000001</v>
      </c>
      <c r="S47" s="1">
        <v>7.0659999999999998</v>
      </c>
      <c r="T47" s="1">
        <v>6.4233333333333302</v>
      </c>
      <c r="U47" s="1">
        <v>7.9710000000000001</v>
      </c>
      <c r="V47" s="1">
        <v>2.0554999999999999</v>
      </c>
      <c r="W47" s="1">
        <v>7.0175000000000001</v>
      </c>
      <c r="Y47" s="1">
        <v>3.4929999999999999</v>
      </c>
      <c r="Z47" s="1">
        <v>7.2684999999999897</v>
      </c>
      <c r="AA47" s="1">
        <v>4.9435000000000002</v>
      </c>
      <c r="AB47" s="1">
        <v>4.8367500000000003</v>
      </c>
    </row>
    <row r="48" spans="1:28" ht="16" x14ac:dyDescent="0.2">
      <c r="A48" s="1">
        <v>225</v>
      </c>
      <c r="B48" s="1" t="s">
        <v>72</v>
      </c>
      <c r="C48" s="1" t="s">
        <v>71</v>
      </c>
      <c r="D48" s="1" t="s">
        <v>16</v>
      </c>
      <c r="F48" s="1">
        <v>5.7439999999999998</v>
      </c>
      <c r="G48" s="1">
        <v>7.1790000000000003</v>
      </c>
      <c r="H48" s="1">
        <v>1.49599999999999</v>
      </c>
      <c r="J48" s="1">
        <v>1.49599999999999</v>
      </c>
      <c r="K48" s="1">
        <v>5.7255000000000003</v>
      </c>
      <c r="L48" s="1">
        <v>9.2880000000000003</v>
      </c>
      <c r="M48" s="1">
        <v>6.1029999999999998</v>
      </c>
      <c r="N48" s="1">
        <v>3.8956666666666599</v>
      </c>
      <c r="O48" s="1">
        <v>2.7410000000000001</v>
      </c>
      <c r="Q48" s="1">
        <v>3.8956666666666599</v>
      </c>
      <c r="R48" s="1">
        <v>2.7410000000000001</v>
      </c>
      <c r="S48" s="1">
        <v>7.2084999999999999</v>
      </c>
      <c r="T48" s="1">
        <v>6.2059999999999897</v>
      </c>
      <c r="U48" s="1">
        <v>5.6994999999999996</v>
      </c>
      <c r="V48" s="1">
        <v>2.8387500000000001</v>
      </c>
      <c r="W48" s="1">
        <v>6.8620000000000001</v>
      </c>
      <c r="Y48" s="1">
        <v>2.6360000000000001</v>
      </c>
      <c r="Z48" s="1">
        <v>6.6934999999999896</v>
      </c>
      <c r="AA48" s="1">
        <v>5.7174999999999896</v>
      </c>
      <c r="AB48" s="1">
        <v>5.0845000000000002</v>
      </c>
    </row>
    <row r="49" spans="1:28" ht="16" x14ac:dyDescent="0.2">
      <c r="A49" s="1">
        <v>31</v>
      </c>
      <c r="B49" s="1" t="s">
        <v>73</v>
      </c>
      <c r="C49" s="1" t="s">
        <v>74</v>
      </c>
      <c r="D49" s="1" t="s">
        <v>11</v>
      </c>
      <c r="F49" s="1">
        <v>9.0274999999999999</v>
      </c>
      <c r="G49" s="1">
        <v>9.0799999999999894</v>
      </c>
      <c r="H49" s="1">
        <v>1.8514999999999999</v>
      </c>
      <c r="J49" s="1">
        <v>1.8514999999999999</v>
      </c>
      <c r="K49" s="1">
        <v>5.7084999999999999</v>
      </c>
      <c r="L49" s="1">
        <v>1.2589999999999999</v>
      </c>
      <c r="M49" s="1">
        <v>4.5945</v>
      </c>
      <c r="N49" s="1">
        <v>6.3486666666666602</v>
      </c>
      <c r="O49" s="1">
        <v>8.5554999999999897</v>
      </c>
      <c r="Q49" s="1">
        <v>6.3486666666666602</v>
      </c>
      <c r="R49" s="1">
        <v>8.5554999999999897</v>
      </c>
      <c r="S49" s="1">
        <v>6.2220000000000004</v>
      </c>
      <c r="T49" s="1">
        <v>6.3016666666666596</v>
      </c>
      <c r="U49" s="1">
        <v>1.534</v>
      </c>
      <c r="V49" s="1">
        <v>4.3475000000000001</v>
      </c>
      <c r="W49" s="1">
        <v>1.889</v>
      </c>
      <c r="Y49" s="1">
        <v>2.976</v>
      </c>
      <c r="Z49" s="1">
        <v>6.2149999999999999</v>
      </c>
      <c r="AA49" s="1">
        <v>7.4770000000000003</v>
      </c>
      <c r="AB49" s="1">
        <v>4.9640000000000004</v>
      </c>
    </row>
    <row r="50" spans="1:28" ht="16" x14ac:dyDescent="0.2">
      <c r="A50" s="1">
        <v>152</v>
      </c>
      <c r="B50" s="1" t="s">
        <v>75</v>
      </c>
      <c r="C50" s="1" t="s">
        <v>74</v>
      </c>
      <c r="D50" s="1" t="s">
        <v>11</v>
      </c>
      <c r="F50" s="1">
        <v>9.2315000000000005</v>
      </c>
      <c r="G50" s="1">
        <v>9.3149999999999995</v>
      </c>
      <c r="H50" s="1">
        <v>1.8514999999999999</v>
      </c>
      <c r="J50" s="1">
        <v>1.8514999999999999</v>
      </c>
      <c r="K50" s="1">
        <v>4.6180000000000003</v>
      </c>
      <c r="L50" s="1">
        <v>0</v>
      </c>
      <c r="M50" s="1">
        <v>4.5945</v>
      </c>
      <c r="N50" s="1">
        <v>6.3486666666666602</v>
      </c>
      <c r="O50" s="1">
        <v>9.3019999999999996</v>
      </c>
      <c r="Q50" s="1">
        <v>6.3486666666666602</v>
      </c>
      <c r="R50" s="1">
        <v>9.3019999999999996</v>
      </c>
      <c r="S50" s="1">
        <v>7.4770000000000003</v>
      </c>
      <c r="T50" s="1">
        <v>6.7906666666666604</v>
      </c>
      <c r="U50" s="1">
        <v>1.5309999999999999</v>
      </c>
      <c r="V50" s="1">
        <v>6.17075</v>
      </c>
      <c r="W50" s="1">
        <v>0.92799999999999905</v>
      </c>
      <c r="Y50" s="1">
        <v>4.1485000000000003</v>
      </c>
      <c r="Z50" s="1">
        <v>5.0289999999999999</v>
      </c>
      <c r="AA50" s="1">
        <v>3.6619999999999999</v>
      </c>
      <c r="AB50" s="1">
        <v>5.3544999999999998</v>
      </c>
    </row>
    <row r="51" spans="1:28" ht="16" x14ac:dyDescent="0.2">
      <c r="A51" s="1">
        <v>36</v>
      </c>
      <c r="B51" s="1" t="s">
        <v>76</v>
      </c>
      <c r="C51" s="1" t="s">
        <v>77</v>
      </c>
      <c r="D51" s="1" t="s">
        <v>6</v>
      </c>
      <c r="F51" s="1">
        <v>3.7040000000000002</v>
      </c>
      <c r="G51" s="1">
        <v>4.5309999999999997</v>
      </c>
      <c r="H51" s="1">
        <v>4.3460000000000001</v>
      </c>
      <c r="J51" s="1">
        <v>4.3460000000000001</v>
      </c>
      <c r="K51" s="1">
        <v>5.8529999999999998</v>
      </c>
      <c r="L51" s="1">
        <v>6.0190000000000001</v>
      </c>
      <c r="M51" s="1">
        <v>6.5145</v>
      </c>
      <c r="N51" s="1">
        <v>8.6709999999999994</v>
      </c>
      <c r="O51" s="1">
        <v>9.2744999999999997</v>
      </c>
      <c r="Q51" s="1">
        <v>8.6709999999999994</v>
      </c>
      <c r="R51" s="1">
        <v>9.2744999999999997</v>
      </c>
      <c r="S51" s="1">
        <v>7.0735000000000001</v>
      </c>
      <c r="T51" s="1">
        <v>7.05033333333333</v>
      </c>
      <c r="U51" s="1">
        <v>4.6790000000000003</v>
      </c>
      <c r="V51" s="1">
        <v>9.84375</v>
      </c>
      <c r="W51" s="1">
        <v>4.2069999999999999</v>
      </c>
      <c r="Y51" s="1">
        <v>6.2779999999999996</v>
      </c>
      <c r="Z51" s="1">
        <v>2.5649999999999902</v>
      </c>
      <c r="AA51" s="1">
        <v>6.6989999999999998</v>
      </c>
      <c r="AB51" s="1">
        <v>6.1379999999999999</v>
      </c>
    </row>
    <row r="52" spans="1:28" ht="32" x14ac:dyDescent="0.2">
      <c r="A52" s="1">
        <v>67</v>
      </c>
      <c r="B52" s="1" t="s">
        <v>78</v>
      </c>
      <c r="C52" s="1" t="s">
        <v>77</v>
      </c>
      <c r="D52" s="1" t="s">
        <v>6</v>
      </c>
      <c r="F52" s="1">
        <v>6.4995000000000003</v>
      </c>
      <c r="G52" s="1">
        <v>5.375</v>
      </c>
      <c r="H52" s="1">
        <v>4.3460000000000001</v>
      </c>
      <c r="J52" s="1">
        <v>4.3460000000000001</v>
      </c>
      <c r="K52" s="1">
        <v>4.2670000000000003</v>
      </c>
      <c r="L52" s="1">
        <v>2.1469999999999998</v>
      </c>
      <c r="M52" s="1">
        <v>6.5145</v>
      </c>
      <c r="N52" s="1">
        <v>8.6709999999999994</v>
      </c>
      <c r="O52" s="1">
        <v>9.2059999999999995</v>
      </c>
      <c r="Q52" s="1">
        <v>8.6709999999999994</v>
      </c>
      <c r="R52" s="1">
        <v>9.2059999999999995</v>
      </c>
      <c r="S52" s="1">
        <v>5.3774999999999897</v>
      </c>
      <c r="T52" s="1">
        <v>5.8439999999999896</v>
      </c>
      <c r="U52" s="1">
        <v>3.6244999999999998</v>
      </c>
      <c r="V52" s="1">
        <v>8.5265000000000004</v>
      </c>
      <c r="W52" s="1">
        <v>1.266</v>
      </c>
      <c r="Y52" s="1">
        <v>5.9225000000000003</v>
      </c>
      <c r="Z52" s="1">
        <v>3.8119999999999998</v>
      </c>
      <c r="AA52" s="1">
        <v>7.3564999999999898</v>
      </c>
      <c r="AB52" s="1">
        <v>1.73525</v>
      </c>
    </row>
    <row r="53" spans="1:28" ht="16" x14ac:dyDescent="0.2">
      <c r="A53" s="1">
        <v>75</v>
      </c>
      <c r="B53" s="1" t="s">
        <v>79</v>
      </c>
      <c r="C53" s="1" t="s">
        <v>77</v>
      </c>
      <c r="D53" s="1" t="s">
        <v>6</v>
      </c>
      <c r="F53" s="1">
        <v>3.8374999999999999</v>
      </c>
      <c r="G53" s="1">
        <v>5.1020000000000003</v>
      </c>
      <c r="H53" s="1">
        <v>4.3460000000000001</v>
      </c>
      <c r="J53" s="1">
        <v>4.3460000000000001</v>
      </c>
      <c r="K53" s="1">
        <v>7.8644999999999996</v>
      </c>
      <c r="L53" s="1">
        <v>6.117</v>
      </c>
      <c r="M53" s="1">
        <v>6.5145</v>
      </c>
      <c r="N53" s="1">
        <v>8.6709999999999994</v>
      </c>
      <c r="O53" s="1">
        <v>7.8604999999999903</v>
      </c>
      <c r="Q53" s="1">
        <v>8.6709999999999994</v>
      </c>
      <c r="R53" s="1">
        <v>7.8604999999999903</v>
      </c>
      <c r="S53" s="1">
        <v>5.3710000000000004</v>
      </c>
      <c r="T53" s="1">
        <v>6.2203333333333299</v>
      </c>
      <c r="U53" s="1">
        <v>3.6244999999999998</v>
      </c>
      <c r="V53" s="1">
        <v>7.1167499999999997</v>
      </c>
      <c r="W53" s="1">
        <v>4.2430000000000003</v>
      </c>
      <c r="Y53" s="1">
        <v>5.4184999999999999</v>
      </c>
      <c r="Z53" s="1">
        <v>6.2234999999999996</v>
      </c>
      <c r="AA53" s="1">
        <v>7.9329999999999901</v>
      </c>
      <c r="AB53" s="1">
        <v>4.53</v>
      </c>
    </row>
    <row r="54" spans="1:28" ht="16" x14ac:dyDescent="0.2">
      <c r="A54" s="1">
        <v>89</v>
      </c>
      <c r="B54" s="1" t="s">
        <v>80</v>
      </c>
      <c r="C54" s="1" t="s">
        <v>77</v>
      </c>
      <c r="D54" s="1" t="s">
        <v>6</v>
      </c>
      <c r="F54" s="1">
        <v>2.7444999999999999</v>
      </c>
      <c r="G54" s="1">
        <v>0</v>
      </c>
      <c r="H54" s="1">
        <v>4.3460000000000001</v>
      </c>
      <c r="J54" s="1">
        <v>4.3460000000000001</v>
      </c>
      <c r="K54" s="1">
        <v>4.0434999999999999</v>
      </c>
      <c r="L54" s="1">
        <v>0</v>
      </c>
      <c r="M54" s="1">
        <v>6.5145</v>
      </c>
      <c r="N54" s="1">
        <v>8.6709999999999994</v>
      </c>
      <c r="O54" s="1">
        <v>9.48</v>
      </c>
      <c r="Q54" s="1">
        <v>8.6709999999999994</v>
      </c>
      <c r="R54" s="1">
        <v>9.48</v>
      </c>
      <c r="S54" s="1">
        <v>6.9354999999999896</v>
      </c>
      <c r="T54" s="1">
        <v>6.8309999999999897</v>
      </c>
      <c r="U54" s="1">
        <v>4.1734999999999998</v>
      </c>
      <c r="V54" s="1">
        <v>9.9532499999999899</v>
      </c>
      <c r="W54" s="1">
        <v>1.1019999999999901</v>
      </c>
      <c r="Y54" s="1">
        <v>5.3019999999999898</v>
      </c>
      <c r="Z54" s="1">
        <v>2.746</v>
      </c>
      <c r="AA54" s="1">
        <v>6.1864999999999997</v>
      </c>
      <c r="AB54" s="1">
        <v>2.0074999999999998</v>
      </c>
    </row>
    <row r="55" spans="1:28" ht="16" x14ac:dyDescent="0.2">
      <c r="A55" s="1">
        <v>213</v>
      </c>
      <c r="B55" s="1" t="s">
        <v>81</v>
      </c>
      <c r="C55" s="1" t="s">
        <v>82</v>
      </c>
      <c r="D55" s="1" t="s">
        <v>6</v>
      </c>
      <c r="F55" s="1">
        <v>8.1645000000000003</v>
      </c>
      <c r="G55" s="1">
        <v>6.7279999999999998</v>
      </c>
      <c r="H55" s="1">
        <v>5.75199999999999</v>
      </c>
      <c r="J55" s="1">
        <v>5.75199999999999</v>
      </c>
      <c r="K55" s="1">
        <v>3.8220000000000001</v>
      </c>
      <c r="L55" s="1">
        <v>0</v>
      </c>
      <c r="M55" s="1">
        <v>4.0814999999999904</v>
      </c>
      <c r="N55" s="1">
        <v>5.9496666666666602</v>
      </c>
      <c r="O55" s="1">
        <v>8.9384999999999994</v>
      </c>
      <c r="Q55" s="1">
        <v>5.9496666666666602</v>
      </c>
      <c r="R55" s="1">
        <v>8.9384999999999994</v>
      </c>
      <c r="S55" s="1">
        <v>6.7089999999999996</v>
      </c>
      <c r="T55" s="1">
        <v>7.4326666666666599</v>
      </c>
      <c r="U55" s="1">
        <v>1.2095</v>
      </c>
      <c r="V55" s="1">
        <v>5.2562499999999899</v>
      </c>
      <c r="W55" s="1">
        <v>1.1915</v>
      </c>
      <c r="Y55" s="1">
        <v>1.5155000000000001</v>
      </c>
      <c r="Z55" s="1">
        <v>6.8665000000000003</v>
      </c>
      <c r="AA55" s="1">
        <v>2.7854999999999999</v>
      </c>
      <c r="AB55" s="1">
        <v>3.8342499999999902</v>
      </c>
    </row>
    <row r="56" spans="1:28" ht="16" x14ac:dyDescent="0.2">
      <c r="A56" s="1">
        <v>264</v>
      </c>
      <c r="B56" s="1" t="s">
        <v>83</v>
      </c>
      <c r="C56" s="1" t="s">
        <v>84</v>
      </c>
      <c r="D56" s="1" t="s">
        <v>26</v>
      </c>
      <c r="F56" s="1">
        <v>8.91</v>
      </c>
      <c r="G56" s="1">
        <v>7.1939999999999902</v>
      </c>
      <c r="H56" s="1">
        <v>7.9934999999999903</v>
      </c>
      <c r="J56" s="1">
        <v>7.9934999999999903</v>
      </c>
      <c r="K56" s="1">
        <v>4.4530000000000003</v>
      </c>
      <c r="L56" s="1">
        <v>1.7749999999999999</v>
      </c>
      <c r="M56" s="1">
        <v>2.2364999999999999</v>
      </c>
      <c r="N56" s="1">
        <v>5.7203333333333299</v>
      </c>
      <c r="O56" s="1">
        <v>7.9545000000000003</v>
      </c>
      <c r="Q56" s="1">
        <v>5.7203333333333299</v>
      </c>
      <c r="R56" s="1">
        <v>7.9545000000000003</v>
      </c>
      <c r="S56" s="1">
        <v>8.6575000000000006</v>
      </c>
      <c r="T56" s="1">
        <v>7.266</v>
      </c>
      <c r="U56" s="1">
        <v>3.2109999999999999</v>
      </c>
      <c r="V56" s="1">
        <v>7.3315000000000001</v>
      </c>
      <c r="W56" s="1">
        <v>2.0279999999999898</v>
      </c>
      <c r="Y56" s="1">
        <v>5.0335000000000001</v>
      </c>
      <c r="Z56" s="1">
        <v>4.9945000000000004</v>
      </c>
      <c r="AA56" s="1">
        <v>4.8090000000000002</v>
      </c>
      <c r="AB56" s="1">
        <v>4.83</v>
      </c>
    </row>
    <row r="57" spans="1:28" ht="16" x14ac:dyDescent="0.2">
      <c r="A57" s="1">
        <v>104</v>
      </c>
      <c r="B57" s="1" t="s">
        <v>85</v>
      </c>
      <c r="C57" s="1" t="s">
        <v>86</v>
      </c>
      <c r="D57" s="1" t="s">
        <v>6</v>
      </c>
      <c r="F57" s="1">
        <v>9.0889999999999898</v>
      </c>
      <c r="G57" s="1">
        <v>7.6079999999999899</v>
      </c>
      <c r="H57" s="1">
        <v>0.5</v>
      </c>
      <c r="J57" s="1">
        <v>0.5</v>
      </c>
      <c r="K57" s="1">
        <v>1.4975000000000001</v>
      </c>
      <c r="L57" s="1">
        <v>0</v>
      </c>
      <c r="M57" s="1">
        <v>2.5495000000000001</v>
      </c>
      <c r="N57" s="1">
        <v>1.64333333333333</v>
      </c>
      <c r="O57" s="1">
        <v>8.7594999999999992</v>
      </c>
      <c r="Q57" s="1">
        <v>1.64333333333333</v>
      </c>
      <c r="R57" s="1">
        <v>8.7594999999999992</v>
      </c>
      <c r="S57" s="1">
        <v>8.6334999999999997</v>
      </c>
      <c r="T57" s="1">
        <v>6.99966666666666</v>
      </c>
      <c r="U57" s="1">
        <v>0</v>
      </c>
      <c r="V57" s="1">
        <v>3.86225</v>
      </c>
      <c r="W57" s="1">
        <v>1.919</v>
      </c>
      <c r="Y57" s="1">
        <v>1.7030000000000001</v>
      </c>
      <c r="Z57" s="1">
        <v>2.0699999999999998</v>
      </c>
      <c r="AA57" s="1">
        <v>5.0225</v>
      </c>
      <c r="AB57" s="1">
        <v>0</v>
      </c>
    </row>
    <row r="58" spans="1:28" ht="16" x14ac:dyDescent="0.2">
      <c r="A58" s="1">
        <v>173</v>
      </c>
      <c r="B58" s="1" t="s">
        <v>87</v>
      </c>
      <c r="C58" s="1" t="s">
        <v>88</v>
      </c>
      <c r="D58" s="1" t="s">
        <v>26</v>
      </c>
      <c r="F58" s="1">
        <v>8.6310000000000002</v>
      </c>
      <c r="G58" s="1">
        <v>6.3010000000000002</v>
      </c>
      <c r="H58" s="1">
        <v>7.5079999999999902</v>
      </c>
      <c r="J58" s="1">
        <v>7.5079999999999902</v>
      </c>
      <c r="K58" s="1">
        <v>3.407</v>
      </c>
      <c r="L58" s="1">
        <v>0</v>
      </c>
      <c r="M58" s="1">
        <v>2.9954999999999998</v>
      </c>
      <c r="N58" s="1">
        <v>7.4386666666666601</v>
      </c>
      <c r="O58" s="1">
        <v>7.5054999999999996</v>
      </c>
      <c r="Q58" s="1">
        <v>7.4386666666666601</v>
      </c>
      <c r="R58" s="1">
        <v>7.5054999999999996</v>
      </c>
      <c r="S58" s="1">
        <v>8.1024999999999991</v>
      </c>
      <c r="T58" s="1">
        <v>6.7586666666666604</v>
      </c>
      <c r="U58" s="1">
        <v>2.4750000000000001</v>
      </c>
      <c r="V58" s="1">
        <v>3.6719999999999899</v>
      </c>
      <c r="W58" s="1">
        <v>1.6059999999999901</v>
      </c>
      <c r="Y58" s="1">
        <v>2.6545000000000001</v>
      </c>
      <c r="Z58" s="1">
        <v>6.9489999999999998</v>
      </c>
      <c r="AA58" s="1">
        <v>1.7754999999999901</v>
      </c>
      <c r="AB58" s="1">
        <v>5.49125</v>
      </c>
    </row>
    <row r="59" spans="1:28" ht="16" x14ac:dyDescent="0.2">
      <c r="A59" s="1">
        <v>42</v>
      </c>
      <c r="B59" s="1" t="s">
        <v>89</v>
      </c>
      <c r="C59" s="1" t="s">
        <v>90</v>
      </c>
      <c r="D59" s="1" t="s">
        <v>26</v>
      </c>
      <c r="F59" s="1">
        <v>8.3290000000000006</v>
      </c>
      <c r="G59" s="1">
        <v>7.9259999999999904</v>
      </c>
      <c r="H59" s="1">
        <v>5.9334999999999898</v>
      </c>
      <c r="J59" s="1">
        <v>5.9334999999999898</v>
      </c>
      <c r="K59" s="1">
        <v>2.9155000000000002</v>
      </c>
      <c r="L59" s="1">
        <v>0</v>
      </c>
      <c r="M59" s="1">
        <v>4.3780000000000001</v>
      </c>
      <c r="N59" s="1">
        <v>6.2126666666666601</v>
      </c>
      <c r="O59" s="1">
        <v>8.0549999999999997</v>
      </c>
      <c r="Q59" s="1">
        <v>6.2126666666666601</v>
      </c>
      <c r="R59" s="1">
        <v>8.0549999999999997</v>
      </c>
      <c r="S59" s="1">
        <v>8.5655000000000001</v>
      </c>
      <c r="T59" s="1">
        <v>8.0966666666666605</v>
      </c>
      <c r="U59" s="1">
        <v>4.2264999999999997</v>
      </c>
      <c r="V59" s="1">
        <v>6.05525</v>
      </c>
      <c r="W59" s="1">
        <v>2.601</v>
      </c>
      <c r="Y59" s="1">
        <v>7.0205000000000002</v>
      </c>
      <c r="Z59" s="1">
        <v>5.3525</v>
      </c>
      <c r="AA59" s="1">
        <v>3.694</v>
      </c>
      <c r="AB59" s="1">
        <v>5.8272499999999896</v>
      </c>
    </row>
    <row r="60" spans="1:28" ht="16" x14ac:dyDescent="0.2">
      <c r="A60" s="1">
        <v>195</v>
      </c>
      <c r="B60" s="1" t="s">
        <v>91</v>
      </c>
      <c r="C60" s="1" t="s">
        <v>90</v>
      </c>
      <c r="D60" s="1" t="s">
        <v>26</v>
      </c>
      <c r="F60" s="1">
        <v>7.4305000000000003</v>
      </c>
      <c r="G60" s="1">
        <v>7.569</v>
      </c>
      <c r="H60" s="1">
        <v>5.9334999999999898</v>
      </c>
      <c r="J60" s="1">
        <v>5.9334999999999898</v>
      </c>
      <c r="K60" s="1">
        <v>5.7794999999999996</v>
      </c>
      <c r="L60" s="1">
        <v>2.302</v>
      </c>
      <c r="M60" s="1">
        <v>4.3780000000000001</v>
      </c>
      <c r="N60" s="1">
        <v>6.2126666666666601</v>
      </c>
      <c r="O60" s="1">
        <v>8.1984999999999992</v>
      </c>
      <c r="Q60" s="1">
        <v>6.2126666666666601</v>
      </c>
      <c r="R60" s="1">
        <v>8.1984999999999992</v>
      </c>
      <c r="S60" s="1">
        <v>8.6594999999999995</v>
      </c>
      <c r="T60" s="1">
        <v>7.8809999999999896</v>
      </c>
      <c r="U60" s="1">
        <v>4.2380000000000004</v>
      </c>
      <c r="V60" s="1">
        <v>7.0142499999999997</v>
      </c>
      <c r="W60" s="1">
        <v>5.4814999999999996</v>
      </c>
      <c r="Y60" s="1">
        <v>6.0904999999999996</v>
      </c>
      <c r="Z60" s="1">
        <v>8.4644999999999992</v>
      </c>
      <c r="AA60" s="1">
        <v>4.9009999999999998</v>
      </c>
      <c r="AB60" s="1">
        <v>5.8464999999999998</v>
      </c>
    </row>
    <row r="61" spans="1:28" ht="16" x14ac:dyDescent="0.2">
      <c r="A61" s="1">
        <v>0</v>
      </c>
      <c r="B61" s="1" t="s">
        <v>92</v>
      </c>
      <c r="C61" s="1" t="s">
        <v>93</v>
      </c>
      <c r="D61" s="1" t="s">
        <v>26</v>
      </c>
      <c r="F61" s="1">
        <v>6.1315</v>
      </c>
      <c r="G61" s="1">
        <v>4.0149999999999997</v>
      </c>
      <c r="H61" s="1">
        <v>5.0679999999999996</v>
      </c>
      <c r="J61" s="1">
        <v>5.0679999999999996</v>
      </c>
      <c r="K61" s="1">
        <v>2.827</v>
      </c>
      <c r="L61" s="1">
        <v>2.5119999999999898</v>
      </c>
      <c r="M61" s="1">
        <v>4.8864999999999998</v>
      </c>
      <c r="N61" s="1">
        <v>9.94</v>
      </c>
      <c r="O61" s="1">
        <v>9.7385000000000002</v>
      </c>
      <c r="Q61" s="1">
        <v>9.94</v>
      </c>
      <c r="R61" s="1">
        <v>9.7385000000000002</v>
      </c>
      <c r="S61" s="1">
        <v>9.6165000000000003</v>
      </c>
      <c r="T61" s="1">
        <v>8.7043333333333308</v>
      </c>
      <c r="U61" s="1">
        <v>5.3665000000000003</v>
      </c>
      <c r="V61" s="1">
        <v>7.633</v>
      </c>
      <c r="W61" s="1">
        <v>3.536</v>
      </c>
      <c r="Y61" s="1">
        <v>8.3729999999999993</v>
      </c>
      <c r="Z61" s="1">
        <v>3.1869999999999998</v>
      </c>
      <c r="AA61" s="1">
        <v>4.13</v>
      </c>
      <c r="AB61" s="1">
        <v>6.31175</v>
      </c>
    </row>
    <row r="62" spans="1:28" ht="16" x14ac:dyDescent="0.2">
      <c r="A62" s="1">
        <v>69</v>
      </c>
      <c r="B62" s="1" t="s">
        <v>94</v>
      </c>
      <c r="C62" s="1" t="s">
        <v>93</v>
      </c>
      <c r="D62" s="1" t="s">
        <v>26</v>
      </c>
      <c r="F62" s="1">
        <v>4.2270000000000003</v>
      </c>
      <c r="G62" s="1">
        <v>3.4260000000000002</v>
      </c>
      <c r="H62" s="1">
        <v>5.0679999999999996</v>
      </c>
      <c r="J62" s="1">
        <v>5.0679999999999996</v>
      </c>
      <c r="K62" s="1">
        <v>6.2069999999999901</v>
      </c>
      <c r="L62" s="1">
        <v>4.4669999999999996</v>
      </c>
      <c r="M62" s="1">
        <v>4.8864999999999998</v>
      </c>
      <c r="N62" s="1">
        <v>9.94</v>
      </c>
      <c r="O62" s="1">
        <v>9.0954999999999995</v>
      </c>
      <c r="Q62" s="1">
        <v>9.94</v>
      </c>
      <c r="R62" s="1">
        <v>9.0954999999999995</v>
      </c>
      <c r="S62" s="1">
        <v>9.1524999999999999</v>
      </c>
      <c r="T62" s="1">
        <v>7.9853333333333296</v>
      </c>
      <c r="U62" s="1">
        <v>5.3010000000000002</v>
      </c>
      <c r="V62" s="1">
        <v>8.2722499999999997</v>
      </c>
      <c r="W62" s="1">
        <v>6.3</v>
      </c>
      <c r="Y62" s="1">
        <v>7.2394999999999996</v>
      </c>
      <c r="Z62" s="1">
        <v>7.0629999999999997</v>
      </c>
      <c r="AA62" s="1">
        <v>4.6710000000000003</v>
      </c>
      <c r="AB62" s="1">
        <v>6.2954999999999997</v>
      </c>
    </row>
    <row r="63" spans="1:28" ht="32" x14ac:dyDescent="0.2">
      <c r="A63" s="1">
        <v>259</v>
      </c>
      <c r="B63" s="1" t="s">
        <v>95</v>
      </c>
      <c r="C63" s="1" t="s">
        <v>96</v>
      </c>
      <c r="D63" s="1" t="s">
        <v>6</v>
      </c>
      <c r="F63" s="1">
        <v>1.2104999999999999</v>
      </c>
      <c r="G63" s="1">
        <v>3.59499999999999</v>
      </c>
      <c r="H63" s="1">
        <v>4.0620000000000003</v>
      </c>
      <c r="J63" s="1">
        <v>4.0620000000000003</v>
      </c>
      <c r="K63" s="1">
        <v>8.7739999999999991</v>
      </c>
      <c r="L63" s="1">
        <v>8.0559999999999992</v>
      </c>
      <c r="M63" s="1">
        <v>6.5145</v>
      </c>
      <c r="N63" s="1">
        <v>8.6709999999999994</v>
      </c>
      <c r="O63" s="1">
        <v>6.5495000000000001</v>
      </c>
      <c r="Q63" s="1">
        <v>8.6709999999999994</v>
      </c>
      <c r="R63" s="1">
        <v>6.5495000000000001</v>
      </c>
      <c r="S63" s="1">
        <v>2.1915</v>
      </c>
      <c r="T63" s="1">
        <v>6.2579999999999902</v>
      </c>
      <c r="U63" s="1">
        <v>5.9684999999999997</v>
      </c>
      <c r="V63" s="1">
        <v>6.9937499999999897</v>
      </c>
      <c r="W63" s="1">
        <v>4.5049999999999999</v>
      </c>
      <c r="Y63" s="1">
        <v>3.8254999999999999</v>
      </c>
      <c r="Z63" s="1">
        <v>10</v>
      </c>
      <c r="AA63" s="1">
        <v>5.0234999999999896</v>
      </c>
      <c r="AB63" s="1">
        <v>4.4569999999999999</v>
      </c>
    </row>
    <row r="64" spans="1:28" ht="32" x14ac:dyDescent="0.2">
      <c r="A64" s="1">
        <v>218</v>
      </c>
      <c r="B64" s="1" t="s">
        <v>97</v>
      </c>
      <c r="C64" s="1" t="s">
        <v>98</v>
      </c>
      <c r="D64" s="1" t="s">
        <v>6</v>
      </c>
      <c r="F64" s="1">
        <v>9.2889999999999997</v>
      </c>
      <c r="G64" s="1">
        <v>8.0760000000000005</v>
      </c>
      <c r="H64" s="1">
        <v>5.7679999999999998</v>
      </c>
      <c r="J64" s="1">
        <v>5.7679999999999998</v>
      </c>
      <c r="K64" s="1">
        <v>2.2274999999999898</v>
      </c>
      <c r="L64" s="1">
        <v>0</v>
      </c>
      <c r="M64" s="1">
        <v>6.1135000000000002</v>
      </c>
      <c r="N64" s="1">
        <v>4.4129999999999896</v>
      </c>
      <c r="O64" s="1">
        <v>5.1094999999999997</v>
      </c>
      <c r="Q64" s="1">
        <v>4.4129999999999896</v>
      </c>
      <c r="R64" s="1">
        <v>5.1094999999999997</v>
      </c>
      <c r="S64" s="1">
        <v>5.7789999999999999</v>
      </c>
      <c r="T64" s="1">
        <v>5.0259999999999998</v>
      </c>
      <c r="U64" s="1">
        <v>0.5</v>
      </c>
      <c r="V64" s="1">
        <v>2.3805000000000001</v>
      </c>
      <c r="W64" s="1">
        <v>1.0029999999999999</v>
      </c>
      <c r="Y64" s="1">
        <v>4.2210000000000001</v>
      </c>
      <c r="Z64" s="1">
        <v>5.7965</v>
      </c>
      <c r="AA64" s="1">
        <v>3.4175</v>
      </c>
      <c r="AB64" s="1">
        <v>4.5652499999999998</v>
      </c>
    </row>
    <row r="65" spans="1:28" ht="16" x14ac:dyDescent="0.2">
      <c r="A65" s="1">
        <v>198</v>
      </c>
      <c r="B65" s="1" t="s">
        <v>99</v>
      </c>
      <c r="C65" s="1" t="s">
        <v>100</v>
      </c>
      <c r="D65" s="1" t="s">
        <v>11</v>
      </c>
      <c r="F65" s="1">
        <v>9.0165000000000006</v>
      </c>
      <c r="G65" s="1">
        <v>7.8220000000000001</v>
      </c>
      <c r="H65" s="1">
        <v>7.5139999999999896</v>
      </c>
      <c r="J65" s="1">
        <v>7.5139999999999896</v>
      </c>
      <c r="K65" s="1">
        <v>2.8574999999999999</v>
      </c>
      <c r="L65" s="1">
        <v>0</v>
      </c>
      <c r="M65" s="1">
        <v>3.8855</v>
      </c>
      <c r="N65" s="1">
        <v>3.0213333333333301</v>
      </c>
      <c r="O65" s="1">
        <v>8.8264999999999905</v>
      </c>
      <c r="Q65" s="1">
        <v>3.0213333333333301</v>
      </c>
      <c r="R65" s="1">
        <v>8.8264999999999905</v>
      </c>
      <c r="S65" s="1">
        <v>6.9689999999999896</v>
      </c>
      <c r="T65" s="1">
        <v>6.4063333333333299</v>
      </c>
      <c r="U65" s="1">
        <v>0</v>
      </c>
      <c r="V65" s="1">
        <v>4.1762499999999996</v>
      </c>
      <c r="W65" s="1">
        <v>0.89</v>
      </c>
      <c r="Y65" s="1">
        <v>3.4815</v>
      </c>
      <c r="Z65" s="1">
        <v>4.8014999999999999</v>
      </c>
      <c r="AA65" s="1">
        <v>5.4999999999999902</v>
      </c>
      <c r="AB65" s="1">
        <v>4.78925</v>
      </c>
    </row>
    <row r="66" spans="1:28" ht="16" x14ac:dyDescent="0.2">
      <c r="A66" s="1">
        <v>48</v>
      </c>
      <c r="B66" s="1" t="s">
        <v>101</v>
      </c>
      <c r="C66" s="1" t="s">
        <v>102</v>
      </c>
      <c r="D66" s="1" t="s">
        <v>103</v>
      </c>
      <c r="F66" s="1">
        <v>10</v>
      </c>
      <c r="G66" s="1">
        <v>10</v>
      </c>
      <c r="H66" s="1">
        <v>5.101</v>
      </c>
      <c r="J66" s="1">
        <v>5.101</v>
      </c>
      <c r="K66" s="1">
        <v>5.0984999999999996</v>
      </c>
      <c r="L66" s="1">
        <v>2.9580000000000002</v>
      </c>
      <c r="M66" s="1">
        <v>2.9780000000000002</v>
      </c>
      <c r="N66" s="1">
        <v>5.7906666666666604</v>
      </c>
      <c r="O66" s="1">
        <v>2.65</v>
      </c>
      <c r="Q66" s="1">
        <v>5.7906666666666604</v>
      </c>
      <c r="R66" s="1">
        <v>2.65</v>
      </c>
      <c r="S66" s="1">
        <v>6.7910000000000004</v>
      </c>
      <c r="T66" s="1">
        <v>4.0409999999999897</v>
      </c>
      <c r="U66" s="1">
        <v>0.5</v>
      </c>
      <c r="V66" s="1">
        <v>1.1555</v>
      </c>
      <c r="W66" s="1">
        <v>3.7574999999999998</v>
      </c>
      <c r="Y66" s="1">
        <v>2.4049999999999998</v>
      </c>
      <c r="Z66" s="1">
        <v>6.1855000000000002</v>
      </c>
      <c r="AA66" s="1">
        <v>0.5</v>
      </c>
      <c r="AB66" s="1">
        <v>3.9902500000000001</v>
      </c>
    </row>
    <row r="67" spans="1:28" ht="16" x14ac:dyDescent="0.2">
      <c r="A67" s="1">
        <v>216</v>
      </c>
      <c r="B67" s="1" t="s">
        <v>104</v>
      </c>
      <c r="C67" s="1" t="s">
        <v>105</v>
      </c>
      <c r="D67" s="1" t="s">
        <v>6</v>
      </c>
      <c r="F67" s="1">
        <v>8.8015000000000008</v>
      </c>
      <c r="G67" s="1">
        <v>7.7429999999999897</v>
      </c>
      <c r="H67" s="1">
        <v>5.5255000000000001</v>
      </c>
      <c r="J67" s="1">
        <v>5.5255000000000001</v>
      </c>
      <c r="K67" s="1">
        <v>1.67</v>
      </c>
      <c r="L67" s="1">
        <v>0</v>
      </c>
      <c r="M67" s="1">
        <v>2.6589999999999998</v>
      </c>
      <c r="N67" s="1">
        <v>4.6613333333333298</v>
      </c>
      <c r="O67" s="1">
        <v>6.1274999999999897</v>
      </c>
      <c r="Q67" s="1">
        <v>4.6613333333333298</v>
      </c>
      <c r="R67" s="1">
        <v>6.1274999999999897</v>
      </c>
      <c r="S67" s="1">
        <v>5.4024999999999999</v>
      </c>
      <c r="T67" s="1">
        <v>5.5586666666666602</v>
      </c>
      <c r="U67" s="1">
        <v>0</v>
      </c>
      <c r="V67" s="1">
        <v>1.00075</v>
      </c>
      <c r="W67" s="1">
        <v>1.0595000000000001</v>
      </c>
      <c r="Y67" s="1">
        <v>1.831</v>
      </c>
      <c r="Z67" s="1">
        <v>4.8584999999999896</v>
      </c>
      <c r="AA67" s="1">
        <v>1.9175</v>
      </c>
      <c r="AB67" s="1">
        <v>4.6855000000000002</v>
      </c>
    </row>
    <row r="68" spans="1:28" ht="16" x14ac:dyDescent="0.2">
      <c r="A68" s="1">
        <v>234</v>
      </c>
      <c r="B68" s="1" t="s">
        <v>106</v>
      </c>
      <c r="C68" s="1" t="s">
        <v>107</v>
      </c>
      <c r="D68" s="1" t="s">
        <v>26</v>
      </c>
      <c r="F68" s="1">
        <v>8.3765000000000001</v>
      </c>
      <c r="G68" s="1">
        <v>6.931</v>
      </c>
      <c r="H68" s="1">
        <v>5.3410000000000002</v>
      </c>
      <c r="J68" s="1">
        <v>5.3410000000000002</v>
      </c>
      <c r="K68" s="1">
        <v>5.3559999999999999</v>
      </c>
      <c r="L68" s="1">
        <v>5.8289999999999997</v>
      </c>
      <c r="M68" s="1">
        <v>4.1849999999999996</v>
      </c>
      <c r="N68" s="1">
        <v>8.1293333333333297</v>
      </c>
      <c r="O68" s="1">
        <v>7.8384999999999998</v>
      </c>
      <c r="Q68" s="1">
        <v>8.1293333333333297</v>
      </c>
      <c r="R68" s="1">
        <v>7.8384999999999998</v>
      </c>
      <c r="S68" s="1">
        <v>9.4254999999999995</v>
      </c>
      <c r="T68" s="1">
        <v>7.3663333333333298</v>
      </c>
      <c r="U68" s="1">
        <v>5.3549999999999898</v>
      </c>
      <c r="V68" s="1">
        <v>7.8254999999999999</v>
      </c>
      <c r="W68" s="1">
        <v>1.9704999999999899</v>
      </c>
      <c r="Y68" s="1">
        <v>5.202</v>
      </c>
      <c r="Z68" s="1">
        <v>7.0235000000000003</v>
      </c>
      <c r="AA68" s="1">
        <v>4.5354999999999999</v>
      </c>
      <c r="AB68" s="1">
        <v>5.9325000000000001</v>
      </c>
    </row>
    <row r="69" spans="1:28" ht="16" x14ac:dyDescent="0.2">
      <c r="A69" s="1">
        <v>237</v>
      </c>
      <c r="B69" s="1" t="s">
        <v>108</v>
      </c>
      <c r="C69" s="1" t="s">
        <v>107</v>
      </c>
      <c r="D69" s="1" t="s">
        <v>26</v>
      </c>
      <c r="F69" s="1">
        <v>8.9610000000000003</v>
      </c>
      <c r="G69" s="1">
        <v>7.47</v>
      </c>
      <c r="H69" s="1">
        <v>5.3410000000000002</v>
      </c>
      <c r="J69" s="1">
        <v>5.3410000000000002</v>
      </c>
      <c r="K69" s="1">
        <v>2.778</v>
      </c>
      <c r="L69" s="1">
        <v>0</v>
      </c>
      <c r="M69" s="1">
        <v>4.1849999999999996</v>
      </c>
      <c r="N69" s="1">
        <v>8.1293333333333297</v>
      </c>
      <c r="O69" s="1">
        <v>7.4829999999999997</v>
      </c>
      <c r="Q69" s="1">
        <v>8.1293333333333297</v>
      </c>
      <c r="R69" s="1">
        <v>7.4829999999999997</v>
      </c>
      <c r="S69" s="1">
        <v>9.3765000000000001</v>
      </c>
      <c r="T69" s="1">
        <v>8.3949999999999996</v>
      </c>
      <c r="U69" s="1">
        <v>5.4035000000000002</v>
      </c>
      <c r="V69" s="1">
        <v>9.4160000000000004</v>
      </c>
      <c r="W69" s="1">
        <v>1.4139999999999999</v>
      </c>
      <c r="Y69" s="1">
        <v>4.3004999999999898</v>
      </c>
      <c r="Z69" s="1">
        <v>4.0810000000000004</v>
      </c>
      <c r="AA69" s="1">
        <v>3.4989999999999899</v>
      </c>
      <c r="AB69" s="1">
        <v>6.4409999999999998</v>
      </c>
    </row>
    <row r="70" spans="1:28" ht="16" x14ac:dyDescent="0.2">
      <c r="A70" s="1">
        <v>105</v>
      </c>
      <c r="B70" s="1" t="s">
        <v>109</v>
      </c>
      <c r="C70" s="1" t="s">
        <v>110</v>
      </c>
      <c r="D70" s="1" t="s">
        <v>26</v>
      </c>
      <c r="F70" s="1">
        <v>5.3959999999999999</v>
      </c>
      <c r="G70" s="1">
        <v>4.1210000000000004</v>
      </c>
      <c r="H70" s="1">
        <v>4.8784999999999998</v>
      </c>
      <c r="J70" s="1">
        <v>4.8784999999999998</v>
      </c>
      <c r="K70" s="1">
        <v>5.6829999999999998</v>
      </c>
      <c r="L70" s="1">
        <v>5.5069999999999997</v>
      </c>
      <c r="M70" s="1">
        <v>3.9209999999999998</v>
      </c>
      <c r="N70" s="1">
        <v>9.4506666666666597</v>
      </c>
      <c r="O70" s="1">
        <v>7.5015000000000001</v>
      </c>
      <c r="Q70" s="1">
        <v>9.4506666666666597</v>
      </c>
      <c r="R70" s="1">
        <v>7.5015000000000001</v>
      </c>
      <c r="S70" s="1">
        <v>8.6739999999999995</v>
      </c>
      <c r="T70" s="1">
        <v>7.9536666666666598</v>
      </c>
      <c r="U70" s="1">
        <v>5.4544999999999897</v>
      </c>
      <c r="V70" s="1">
        <v>9.3010000000000002</v>
      </c>
      <c r="W70" s="1">
        <v>4.7504999999999997</v>
      </c>
      <c r="Y70" s="1">
        <v>5.1034999999999897</v>
      </c>
      <c r="Z70" s="1">
        <v>7.0545</v>
      </c>
      <c r="AA70" s="1">
        <v>4.7979999999999903</v>
      </c>
      <c r="AB70" s="1">
        <v>5.7792500000000002</v>
      </c>
    </row>
    <row r="71" spans="1:28" ht="16" x14ac:dyDescent="0.2">
      <c r="A71" s="1">
        <v>180</v>
      </c>
      <c r="B71" s="1" t="s">
        <v>111</v>
      </c>
      <c r="C71" s="1" t="s">
        <v>110</v>
      </c>
      <c r="D71" s="1" t="s">
        <v>26</v>
      </c>
      <c r="F71" s="1">
        <v>3.7444999999999999</v>
      </c>
      <c r="G71" s="1">
        <v>0</v>
      </c>
      <c r="H71" s="1">
        <v>4.8784999999999998</v>
      </c>
      <c r="J71" s="1">
        <v>4.8784999999999998</v>
      </c>
      <c r="K71" s="1">
        <v>2.3134999999999999</v>
      </c>
      <c r="L71" s="1">
        <v>2.5750000000000002</v>
      </c>
      <c r="M71" s="1">
        <v>3.9209999999999998</v>
      </c>
      <c r="N71" s="1">
        <v>9.4506666666666597</v>
      </c>
      <c r="O71" s="1">
        <v>8.3290000000000006</v>
      </c>
      <c r="Q71" s="1">
        <v>9.4506666666666597</v>
      </c>
      <c r="R71" s="1">
        <v>8.3290000000000006</v>
      </c>
      <c r="S71" s="1">
        <v>8.4585000000000008</v>
      </c>
      <c r="T71" s="1">
        <v>7.7013333333333298</v>
      </c>
      <c r="U71" s="1">
        <v>5.4544999999999897</v>
      </c>
      <c r="V71" s="1">
        <v>8.9329999999999998</v>
      </c>
      <c r="W71" s="1">
        <v>2.7160000000000002</v>
      </c>
      <c r="Y71" s="1">
        <v>5.7229999999999901</v>
      </c>
      <c r="Z71" s="1">
        <v>2.0059999999999998</v>
      </c>
      <c r="AA71" s="1">
        <v>5.0720000000000001</v>
      </c>
      <c r="AB71" s="1">
        <v>6.0407500000000001</v>
      </c>
    </row>
    <row r="72" spans="1:28" ht="16" x14ac:dyDescent="0.2">
      <c r="A72" s="1">
        <v>236</v>
      </c>
      <c r="B72" s="1" t="s">
        <v>112</v>
      </c>
      <c r="C72" s="1" t="s">
        <v>110</v>
      </c>
      <c r="D72" s="1" t="s">
        <v>26</v>
      </c>
      <c r="F72" s="1">
        <v>6.9359999999999999</v>
      </c>
      <c r="G72" s="1">
        <v>4.6219999999999999</v>
      </c>
      <c r="H72" s="1">
        <v>4.8784999999999998</v>
      </c>
      <c r="J72" s="1">
        <v>4.8784999999999998</v>
      </c>
      <c r="K72" s="1">
        <v>2.6059999999999999</v>
      </c>
      <c r="L72" s="1">
        <v>2.5489999999999999</v>
      </c>
      <c r="M72" s="1">
        <v>3.9209999999999998</v>
      </c>
      <c r="N72" s="1">
        <v>9.4506666666666597</v>
      </c>
      <c r="O72" s="1">
        <v>8.2904999999999998</v>
      </c>
      <c r="Q72" s="1">
        <v>9.4506666666666597</v>
      </c>
      <c r="R72" s="1">
        <v>8.2904999999999998</v>
      </c>
      <c r="S72" s="1">
        <v>8.6890000000000001</v>
      </c>
      <c r="T72" s="1">
        <v>8.3163333333333291</v>
      </c>
      <c r="U72" s="1">
        <v>5.3895</v>
      </c>
      <c r="V72" s="1">
        <v>8.9220000000000006</v>
      </c>
      <c r="W72" s="1">
        <v>2.8479999999999999</v>
      </c>
      <c r="Y72" s="1">
        <v>5.7919999999999998</v>
      </c>
      <c r="Z72" s="1">
        <v>4.1870000000000003</v>
      </c>
      <c r="AA72" s="1">
        <v>4.5709999999999997</v>
      </c>
      <c r="AB72" s="1">
        <v>6.3494999999999999</v>
      </c>
    </row>
    <row r="73" spans="1:28" ht="16" x14ac:dyDescent="0.2">
      <c r="A73" s="1">
        <v>249</v>
      </c>
      <c r="B73" s="1" t="s">
        <v>113</v>
      </c>
      <c r="C73" s="1" t="s">
        <v>110</v>
      </c>
      <c r="D73" s="1" t="s">
        <v>26</v>
      </c>
      <c r="F73" s="1">
        <v>7.5339999999999998</v>
      </c>
      <c r="G73" s="1">
        <v>5.07</v>
      </c>
      <c r="H73" s="1">
        <v>4.8784999999999998</v>
      </c>
      <c r="J73" s="1">
        <v>4.8784999999999998</v>
      </c>
      <c r="K73" s="1">
        <v>1.8794999999999999</v>
      </c>
      <c r="L73" s="1">
        <v>1.7729999999999999</v>
      </c>
      <c r="M73" s="1">
        <v>3.9209999999999998</v>
      </c>
      <c r="N73" s="1">
        <v>9.4506666666666597</v>
      </c>
      <c r="O73" s="1">
        <v>7.7514999999999903</v>
      </c>
      <c r="Q73" s="1">
        <v>9.4506666666666597</v>
      </c>
      <c r="R73" s="1">
        <v>7.7514999999999903</v>
      </c>
      <c r="S73" s="1">
        <v>9.1754999999999995</v>
      </c>
      <c r="T73" s="1">
        <v>8.7126666666666601</v>
      </c>
      <c r="U73" s="1">
        <v>5.3474999999999904</v>
      </c>
      <c r="V73" s="1">
        <v>9.1047499999999992</v>
      </c>
      <c r="W73" s="1">
        <v>3.2240000000000002</v>
      </c>
      <c r="Y73" s="1">
        <v>6.6825000000000001</v>
      </c>
      <c r="Z73" s="1">
        <v>5.0975000000000001</v>
      </c>
      <c r="AA73" s="1">
        <v>4.5374999999999996</v>
      </c>
      <c r="AB73" s="1">
        <v>6.7284999999999897</v>
      </c>
    </row>
    <row r="74" spans="1:28" ht="16" x14ac:dyDescent="0.2">
      <c r="A74" s="1">
        <v>114</v>
      </c>
      <c r="B74" s="1" t="s">
        <v>114</v>
      </c>
      <c r="C74" s="1" t="s">
        <v>115</v>
      </c>
      <c r="D74" s="1" t="s">
        <v>6</v>
      </c>
      <c r="F74" s="1">
        <v>6.45</v>
      </c>
      <c r="G74" s="1">
        <v>5.359</v>
      </c>
      <c r="H74" s="1">
        <v>4.7720000000000002</v>
      </c>
      <c r="J74" s="1">
        <v>4.7720000000000002</v>
      </c>
      <c r="K74" s="1">
        <v>4.3475000000000001</v>
      </c>
      <c r="L74" s="1">
        <v>2.5449999999999999</v>
      </c>
      <c r="M74" s="1">
        <v>6.5145</v>
      </c>
      <c r="N74" s="1">
        <v>8.6709999999999994</v>
      </c>
      <c r="O74" s="1">
        <v>5.6784999999999997</v>
      </c>
      <c r="Q74" s="1">
        <v>8.6709999999999994</v>
      </c>
      <c r="R74" s="1">
        <v>5.6784999999999997</v>
      </c>
      <c r="S74" s="1">
        <v>3.8254999999999999</v>
      </c>
      <c r="T74" s="1">
        <v>6.1989999999999998</v>
      </c>
      <c r="U74" s="1">
        <v>3.6244999999999998</v>
      </c>
      <c r="V74" s="1">
        <v>7.1202500000000004</v>
      </c>
      <c r="W74" s="1">
        <v>1.5674999999999899</v>
      </c>
      <c r="Y74" s="1">
        <v>6.1574999999999998</v>
      </c>
      <c r="Z74" s="1">
        <v>5.6544999999999996</v>
      </c>
      <c r="AA74" s="1">
        <v>5.0129999999999999</v>
      </c>
      <c r="AB74" s="1">
        <v>1.4057500000000001</v>
      </c>
    </row>
    <row r="75" spans="1:28" ht="16" x14ac:dyDescent="0.2">
      <c r="A75" s="1">
        <v>156</v>
      </c>
      <c r="B75" s="1" t="s">
        <v>116</v>
      </c>
      <c r="C75" s="1" t="s">
        <v>115</v>
      </c>
      <c r="D75" s="1" t="s">
        <v>6</v>
      </c>
      <c r="F75" s="1">
        <v>3.0309999999999899</v>
      </c>
      <c r="G75" s="1">
        <v>4.4969999999999999</v>
      </c>
      <c r="H75" s="1">
        <v>4.7720000000000002</v>
      </c>
      <c r="J75" s="1">
        <v>4.7720000000000002</v>
      </c>
      <c r="K75" s="1">
        <v>8.0225000000000009</v>
      </c>
      <c r="L75" s="1">
        <v>5.0549999999999997</v>
      </c>
      <c r="M75" s="1">
        <v>6.5145</v>
      </c>
      <c r="N75" s="1">
        <v>8.6709999999999994</v>
      </c>
      <c r="O75" s="1">
        <v>6.0434999999999999</v>
      </c>
      <c r="Q75" s="1">
        <v>8.6709999999999994</v>
      </c>
      <c r="R75" s="1">
        <v>6.0434999999999999</v>
      </c>
      <c r="S75" s="1">
        <v>4.3209999999999997</v>
      </c>
      <c r="T75" s="1">
        <v>6.0309999999999997</v>
      </c>
      <c r="U75" s="1">
        <v>4.3944999999999999</v>
      </c>
      <c r="V75" s="1">
        <v>6.2919999999999998</v>
      </c>
      <c r="W75" s="1">
        <v>4.1689999999999996</v>
      </c>
      <c r="Y75" s="1">
        <v>5.8239999999999998</v>
      </c>
      <c r="Z75" s="1">
        <v>6.7675000000000001</v>
      </c>
      <c r="AA75" s="1">
        <v>5.3845000000000001</v>
      </c>
      <c r="AB75" s="1">
        <v>4.0527499999999996</v>
      </c>
    </row>
    <row r="76" spans="1:28" ht="16" x14ac:dyDescent="0.2">
      <c r="A76" s="1">
        <v>176</v>
      </c>
      <c r="B76" s="1" t="s">
        <v>117</v>
      </c>
      <c r="C76" s="1" t="s">
        <v>115</v>
      </c>
      <c r="D76" s="1" t="s">
        <v>6</v>
      </c>
      <c r="F76" s="1">
        <v>5.7784999999999904</v>
      </c>
      <c r="G76" s="1">
        <v>5.2839999999999998</v>
      </c>
      <c r="H76" s="1">
        <v>4.7720000000000002</v>
      </c>
      <c r="J76" s="1">
        <v>4.7720000000000002</v>
      </c>
      <c r="K76" s="1">
        <v>6.5975000000000001</v>
      </c>
      <c r="L76" s="1">
        <v>2.464</v>
      </c>
      <c r="M76" s="1">
        <v>6.5145</v>
      </c>
      <c r="N76" s="1">
        <v>8.6709999999999994</v>
      </c>
      <c r="O76" s="1">
        <v>5.7839999999999998</v>
      </c>
      <c r="Q76" s="1">
        <v>8.6709999999999994</v>
      </c>
      <c r="R76" s="1">
        <v>5.7839999999999998</v>
      </c>
      <c r="S76" s="1">
        <v>4.1340000000000003</v>
      </c>
      <c r="T76" s="1">
        <v>5.9673333333333298</v>
      </c>
      <c r="U76" s="1">
        <v>3.6244999999999998</v>
      </c>
      <c r="V76" s="1">
        <v>6.6760000000000002</v>
      </c>
      <c r="W76" s="1">
        <v>3.7734999999999901</v>
      </c>
      <c r="Y76" s="1">
        <v>4.8860000000000001</v>
      </c>
      <c r="Z76" s="1">
        <v>5.9295</v>
      </c>
      <c r="AA76" s="1">
        <v>4.4929999999999897</v>
      </c>
      <c r="AB76" s="1">
        <v>4.3387500000000001</v>
      </c>
    </row>
    <row r="77" spans="1:28" ht="32" x14ac:dyDescent="0.2">
      <c r="A77" s="1">
        <v>235</v>
      </c>
      <c r="B77" s="1" t="s">
        <v>118</v>
      </c>
      <c r="C77" s="1" t="s">
        <v>115</v>
      </c>
      <c r="D77" s="1" t="s">
        <v>6</v>
      </c>
      <c r="F77" s="1">
        <v>5.6959999999999997</v>
      </c>
      <c r="G77" s="1">
        <v>5.2530000000000001</v>
      </c>
      <c r="H77" s="1">
        <v>4.7720000000000002</v>
      </c>
      <c r="J77" s="1">
        <v>4.7720000000000002</v>
      </c>
      <c r="K77" s="1">
        <v>6.3469999999999898</v>
      </c>
      <c r="L77" s="1">
        <v>3.778</v>
      </c>
      <c r="M77" s="1">
        <v>6.5145</v>
      </c>
      <c r="N77" s="1">
        <v>8.6709999999999994</v>
      </c>
      <c r="O77" s="1">
        <v>5.36</v>
      </c>
      <c r="Q77" s="1">
        <v>8.6709999999999994</v>
      </c>
      <c r="R77" s="1">
        <v>5.36</v>
      </c>
      <c r="S77" s="1">
        <v>4.7064999999999904</v>
      </c>
      <c r="T77" s="1">
        <v>6.5729999999999897</v>
      </c>
      <c r="U77" s="1">
        <v>4.2805</v>
      </c>
      <c r="V77" s="1">
        <v>7.3787500000000001</v>
      </c>
      <c r="W77" s="1">
        <v>2.9055</v>
      </c>
      <c r="Y77" s="1">
        <v>7.1950000000000003</v>
      </c>
      <c r="Z77" s="1">
        <v>6.4339999999999904</v>
      </c>
      <c r="AA77" s="1">
        <v>5.4969999999999999</v>
      </c>
      <c r="AB77" s="1">
        <v>1.4007499999999999</v>
      </c>
    </row>
    <row r="78" spans="1:28" ht="16" x14ac:dyDescent="0.2">
      <c r="A78" s="1">
        <v>34</v>
      </c>
      <c r="B78" s="1" t="s">
        <v>119</v>
      </c>
      <c r="C78" s="1" t="s">
        <v>120</v>
      </c>
      <c r="D78" s="1" t="s">
        <v>26</v>
      </c>
      <c r="F78" s="1">
        <v>7.1914999999999996</v>
      </c>
      <c r="G78" s="1">
        <v>4.5830000000000002</v>
      </c>
      <c r="H78" s="1">
        <v>2.6480000000000001</v>
      </c>
      <c r="J78" s="1">
        <v>2.6480000000000001</v>
      </c>
      <c r="K78" s="1">
        <v>3.6915</v>
      </c>
      <c r="L78" s="1">
        <v>0</v>
      </c>
      <c r="M78" s="1">
        <v>4.2045000000000003</v>
      </c>
      <c r="N78" s="1">
        <v>8.0883333333333294</v>
      </c>
      <c r="O78" s="1">
        <v>7.1264999999999903</v>
      </c>
      <c r="Q78" s="1">
        <v>8.0883333333333294</v>
      </c>
      <c r="R78" s="1">
        <v>7.1264999999999903</v>
      </c>
      <c r="S78" s="1">
        <v>7.4660000000000002</v>
      </c>
      <c r="T78" s="1">
        <v>8.8233333333333306</v>
      </c>
      <c r="U78" s="1">
        <v>4.4420000000000002</v>
      </c>
      <c r="V78" s="1">
        <v>7.2610000000000001</v>
      </c>
      <c r="W78" s="1">
        <v>4.8760000000000003</v>
      </c>
      <c r="Y78" s="1">
        <v>3.875</v>
      </c>
      <c r="Z78" s="1">
        <v>5.3005000000000004</v>
      </c>
      <c r="AA78" s="1">
        <v>2.87549999999999</v>
      </c>
      <c r="AB78" s="1">
        <v>5.5497499999999897</v>
      </c>
    </row>
    <row r="79" spans="1:28" ht="16" x14ac:dyDescent="0.2">
      <c r="A79" s="1">
        <v>98</v>
      </c>
      <c r="B79" s="1" t="s">
        <v>121</v>
      </c>
      <c r="C79" s="1" t="s">
        <v>120</v>
      </c>
      <c r="D79" s="1" t="s">
        <v>26</v>
      </c>
      <c r="F79" s="1">
        <v>7.5049999999999999</v>
      </c>
      <c r="G79" s="1">
        <v>4.3170000000000002</v>
      </c>
      <c r="H79" s="1">
        <v>2.6480000000000001</v>
      </c>
      <c r="J79" s="1">
        <v>2.6480000000000001</v>
      </c>
      <c r="K79" s="1">
        <v>2.7429999999999999</v>
      </c>
      <c r="L79" s="1">
        <v>1.8520000000000001</v>
      </c>
      <c r="M79" s="1">
        <v>4.2045000000000003</v>
      </c>
      <c r="N79" s="1">
        <v>8.0883333333333294</v>
      </c>
      <c r="O79" s="1">
        <v>5.0504999999999898</v>
      </c>
      <c r="Q79" s="1">
        <v>8.0883333333333294</v>
      </c>
      <c r="R79" s="1">
        <v>5.0504999999999898</v>
      </c>
      <c r="S79" s="1">
        <v>5.8875000000000002</v>
      </c>
      <c r="T79" s="1">
        <v>9.06299999999999</v>
      </c>
      <c r="U79" s="1">
        <v>4.5490000000000004</v>
      </c>
      <c r="V79" s="1">
        <v>6.1509999999999998</v>
      </c>
      <c r="W79" s="1">
        <v>3.996</v>
      </c>
      <c r="Y79" s="1">
        <v>3.7579999999999898</v>
      </c>
      <c r="Z79" s="1">
        <v>3.1785000000000001</v>
      </c>
      <c r="AA79" s="1">
        <v>4.6459999999999999</v>
      </c>
      <c r="AB79" s="1">
        <v>5.5257500000000004</v>
      </c>
    </row>
    <row r="80" spans="1:28" ht="16" x14ac:dyDescent="0.2">
      <c r="A80" s="1">
        <v>133</v>
      </c>
      <c r="B80" s="1" t="s">
        <v>122</v>
      </c>
      <c r="C80" s="1" t="s">
        <v>120</v>
      </c>
      <c r="D80" s="1" t="s">
        <v>26</v>
      </c>
      <c r="F80" s="1">
        <v>7.532</v>
      </c>
      <c r="G80" s="1">
        <v>5.399</v>
      </c>
      <c r="H80" s="1">
        <v>2.6480000000000001</v>
      </c>
      <c r="J80" s="1">
        <v>2.6480000000000001</v>
      </c>
      <c r="K80" s="1">
        <v>3.2585000000000002</v>
      </c>
      <c r="L80" s="1">
        <v>2.3809999999999998</v>
      </c>
      <c r="M80" s="1">
        <v>4.2045000000000003</v>
      </c>
      <c r="N80" s="1">
        <v>8.0883333333333294</v>
      </c>
      <c r="O80" s="1">
        <v>7.2029999999999896</v>
      </c>
      <c r="Q80" s="1">
        <v>8.0883333333333294</v>
      </c>
      <c r="R80" s="1">
        <v>7.2029999999999896</v>
      </c>
      <c r="S80" s="1">
        <v>6.9420000000000002</v>
      </c>
      <c r="T80" s="1">
        <v>9.0709999999999997</v>
      </c>
      <c r="U80" s="1">
        <v>4.3934999999999897</v>
      </c>
      <c r="V80" s="1">
        <v>4.2394999999999996</v>
      </c>
      <c r="W80" s="1">
        <v>6.02</v>
      </c>
      <c r="Y80" s="1">
        <v>3.8269999999999902</v>
      </c>
      <c r="Z80" s="1">
        <v>5.1094999999999997</v>
      </c>
      <c r="AA80" s="1">
        <v>2.2925</v>
      </c>
      <c r="AB80" s="1">
        <v>2.2937500000000002</v>
      </c>
    </row>
    <row r="81" spans="1:28" ht="16" x14ac:dyDescent="0.2">
      <c r="A81" s="1">
        <v>143</v>
      </c>
      <c r="B81" s="1" t="s">
        <v>123</v>
      </c>
      <c r="C81" s="1" t="s">
        <v>120</v>
      </c>
      <c r="D81" s="1" t="s">
        <v>26</v>
      </c>
      <c r="F81" s="1">
        <v>6.6970000000000001</v>
      </c>
      <c r="G81" s="1">
        <v>4.3490000000000002</v>
      </c>
      <c r="H81" s="1">
        <v>2.6480000000000001</v>
      </c>
      <c r="J81" s="1">
        <v>2.6480000000000001</v>
      </c>
      <c r="K81" s="1">
        <v>4.4995000000000003</v>
      </c>
      <c r="L81" s="1">
        <v>3.0830000000000002</v>
      </c>
      <c r="M81" s="1">
        <v>4.2045000000000003</v>
      </c>
      <c r="N81" s="1">
        <v>8.0883333333333294</v>
      </c>
      <c r="O81" s="1">
        <v>6.5169999999999897</v>
      </c>
      <c r="Q81" s="1">
        <v>8.0883333333333294</v>
      </c>
      <c r="R81" s="1">
        <v>6.5169999999999897</v>
      </c>
      <c r="S81" s="1">
        <v>7.1344999999999903</v>
      </c>
      <c r="T81" s="1">
        <v>8.6416666666666604</v>
      </c>
      <c r="U81" s="1">
        <v>4.5804999999999998</v>
      </c>
      <c r="V81" s="1">
        <v>6.5432499999999996</v>
      </c>
      <c r="W81" s="1">
        <v>5.9630000000000001</v>
      </c>
      <c r="Y81" s="1">
        <v>9.4030000000000005</v>
      </c>
      <c r="Z81" s="1">
        <v>5.9874999999999998</v>
      </c>
      <c r="AA81" s="1">
        <v>5.3734999999999999</v>
      </c>
      <c r="AB81" s="1">
        <v>5.1852499999999999</v>
      </c>
    </row>
    <row r="82" spans="1:28" ht="16" x14ac:dyDescent="0.2">
      <c r="A82" s="1">
        <v>151</v>
      </c>
      <c r="B82" s="1" t="s">
        <v>124</v>
      </c>
      <c r="C82" s="1" t="s">
        <v>120</v>
      </c>
      <c r="D82" s="1" t="s">
        <v>26</v>
      </c>
      <c r="F82" s="1">
        <v>7.5884999999999998</v>
      </c>
      <c r="G82" s="1">
        <v>6.0259999999999998</v>
      </c>
      <c r="H82" s="1">
        <v>2.6480000000000001</v>
      </c>
      <c r="J82" s="1">
        <v>2.6480000000000001</v>
      </c>
      <c r="K82" s="1">
        <v>3.3094999999999999</v>
      </c>
      <c r="L82" s="1">
        <v>2.843</v>
      </c>
      <c r="M82" s="1">
        <v>4.2045000000000003</v>
      </c>
      <c r="N82" s="1">
        <v>8.0883333333333294</v>
      </c>
      <c r="O82" s="1">
        <v>6.1734999999999998</v>
      </c>
      <c r="Q82" s="1">
        <v>8.0883333333333294</v>
      </c>
      <c r="R82" s="1">
        <v>6.1734999999999998</v>
      </c>
      <c r="S82" s="1">
        <v>5.2519999999999998</v>
      </c>
      <c r="T82" s="1">
        <v>8.8436666666666603</v>
      </c>
      <c r="U82" s="1">
        <v>4.4420000000000002</v>
      </c>
      <c r="V82" s="1">
        <v>3.9420000000000002</v>
      </c>
      <c r="W82" s="1">
        <v>5.9504999999999999</v>
      </c>
      <c r="Y82" s="1">
        <v>5.5425000000000004</v>
      </c>
      <c r="Z82" s="1">
        <v>5.4429999999999996</v>
      </c>
      <c r="AA82" s="1">
        <v>5.1835000000000004</v>
      </c>
      <c r="AB82" s="1">
        <v>5.8607500000000003</v>
      </c>
    </row>
    <row r="83" spans="1:28" ht="16" x14ac:dyDescent="0.2">
      <c r="A83" s="1">
        <v>167</v>
      </c>
      <c r="B83" s="1" t="s">
        <v>125</v>
      </c>
      <c r="C83" s="1" t="s">
        <v>120</v>
      </c>
      <c r="D83" s="1" t="s">
        <v>26</v>
      </c>
      <c r="F83" s="1">
        <v>7.7225000000000001</v>
      </c>
      <c r="G83" s="1">
        <v>5.0209999999999999</v>
      </c>
      <c r="H83" s="1">
        <v>2.6480000000000001</v>
      </c>
      <c r="J83" s="1">
        <v>2.6480000000000001</v>
      </c>
      <c r="K83" s="1">
        <v>3.35299999999999</v>
      </c>
      <c r="L83" s="1">
        <v>2.23</v>
      </c>
      <c r="M83" s="1">
        <v>4.2045000000000003</v>
      </c>
      <c r="N83" s="1">
        <v>8.0883333333333294</v>
      </c>
      <c r="O83" s="1">
        <v>7.0555000000000003</v>
      </c>
      <c r="Q83" s="1">
        <v>8.0883333333333294</v>
      </c>
      <c r="R83" s="1">
        <v>7.0555000000000003</v>
      </c>
      <c r="S83" s="1">
        <v>7.6355000000000004</v>
      </c>
      <c r="T83" s="1">
        <v>8.5333333333333297</v>
      </c>
      <c r="U83" s="1">
        <v>4.4044999999999996</v>
      </c>
      <c r="V83" s="1">
        <v>7.3230000000000004</v>
      </c>
      <c r="W83" s="1">
        <v>4.9889999999999999</v>
      </c>
      <c r="Y83" s="1">
        <v>4.867</v>
      </c>
      <c r="Z83" s="1">
        <v>4.351</v>
      </c>
      <c r="AA83" s="1">
        <v>2.6719999999999899</v>
      </c>
      <c r="AB83" s="1">
        <v>5.9977499999999999</v>
      </c>
    </row>
    <row r="84" spans="1:28" ht="16" x14ac:dyDescent="0.2">
      <c r="A84" s="1">
        <v>172</v>
      </c>
      <c r="B84" s="1" t="s">
        <v>126</v>
      </c>
      <c r="C84" s="1" t="s">
        <v>120</v>
      </c>
      <c r="D84" s="1" t="s">
        <v>26</v>
      </c>
      <c r="F84" s="1">
        <v>6.4984999999999999</v>
      </c>
      <c r="G84" s="1">
        <v>4.4749999999999996</v>
      </c>
      <c r="H84" s="1">
        <v>2.6480000000000001</v>
      </c>
      <c r="J84" s="1">
        <v>2.6480000000000001</v>
      </c>
      <c r="K84" s="1">
        <v>3.0974999999999899</v>
      </c>
      <c r="L84" s="1">
        <v>2.60299999999999</v>
      </c>
      <c r="M84" s="1">
        <v>4.2045000000000003</v>
      </c>
      <c r="N84" s="1">
        <v>8.0883333333333294</v>
      </c>
      <c r="O84" s="1">
        <v>6.4674999999999896</v>
      </c>
      <c r="Q84" s="1">
        <v>8.0883333333333294</v>
      </c>
      <c r="R84" s="1">
        <v>6.4674999999999896</v>
      </c>
      <c r="S84" s="1">
        <v>7.234</v>
      </c>
      <c r="T84" s="1">
        <v>8.3296666666666592</v>
      </c>
      <c r="U84" s="1">
        <v>4.4044999999999996</v>
      </c>
      <c r="V84" s="1">
        <v>6.423</v>
      </c>
      <c r="W84" s="1">
        <v>6.46</v>
      </c>
      <c r="Y84" s="1">
        <v>6.4719999999999898</v>
      </c>
      <c r="Z84" s="1">
        <v>4.7794999999999996</v>
      </c>
      <c r="AA84" s="1">
        <v>5.5265000000000004</v>
      </c>
      <c r="AB84" s="1">
        <v>6.0510000000000002</v>
      </c>
    </row>
    <row r="85" spans="1:28" ht="16" x14ac:dyDescent="0.2">
      <c r="A85" s="1">
        <v>184</v>
      </c>
      <c r="B85" s="1" t="s">
        <v>127</v>
      </c>
      <c r="C85" s="1" t="s">
        <v>120</v>
      </c>
      <c r="D85" s="1" t="s">
        <v>26</v>
      </c>
      <c r="F85" s="1">
        <v>3.5834999999999999</v>
      </c>
      <c r="G85" s="1">
        <v>3.6640000000000001</v>
      </c>
      <c r="H85" s="1">
        <v>2.6480000000000001</v>
      </c>
      <c r="J85" s="1">
        <v>2.6480000000000001</v>
      </c>
      <c r="K85" s="1">
        <v>9.2765000000000004</v>
      </c>
      <c r="L85" s="1">
        <v>7.5129999999999999</v>
      </c>
      <c r="M85" s="1">
        <v>4.2045000000000003</v>
      </c>
      <c r="N85" s="1">
        <v>8.0883333333333294</v>
      </c>
      <c r="O85" s="1">
        <v>5.5789999999999997</v>
      </c>
      <c r="Q85" s="1">
        <v>8.0883333333333294</v>
      </c>
      <c r="R85" s="1">
        <v>5.5789999999999997</v>
      </c>
      <c r="S85" s="1">
        <v>6.2465000000000002</v>
      </c>
      <c r="T85" s="1">
        <v>8.2076666666666593</v>
      </c>
      <c r="U85" s="1">
        <v>7.085</v>
      </c>
      <c r="V85" s="1">
        <v>4.3622500000000004</v>
      </c>
      <c r="W85" s="1">
        <v>10</v>
      </c>
      <c r="Y85" s="1">
        <v>9.7159999999999993</v>
      </c>
      <c r="Z85" s="1">
        <v>9.8164999999999996</v>
      </c>
      <c r="AA85" s="1">
        <v>4.4329999999999998</v>
      </c>
      <c r="AB85" s="1">
        <v>5.3304999999999998</v>
      </c>
    </row>
    <row r="86" spans="1:28" ht="16" x14ac:dyDescent="0.2">
      <c r="A86" s="1">
        <v>246</v>
      </c>
      <c r="B86" s="1" t="s">
        <v>128</v>
      </c>
      <c r="C86" s="1" t="s">
        <v>120</v>
      </c>
      <c r="D86" s="1" t="s">
        <v>26</v>
      </c>
      <c r="F86" s="1">
        <v>7.5439999999999996</v>
      </c>
      <c r="G86" s="1">
        <v>4.5519999999999996</v>
      </c>
      <c r="H86" s="1">
        <v>2.6480000000000001</v>
      </c>
      <c r="J86" s="1">
        <v>2.6480000000000001</v>
      </c>
      <c r="K86" s="1">
        <v>3.577</v>
      </c>
      <c r="L86" s="1">
        <v>2.0419999999999998</v>
      </c>
      <c r="M86" s="1">
        <v>4.2045000000000003</v>
      </c>
      <c r="N86" s="1">
        <v>8.0883333333333294</v>
      </c>
      <c r="O86" s="1">
        <v>7.6334999999999997</v>
      </c>
      <c r="Q86" s="1">
        <v>8.0883333333333294</v>
      </c>
      <c r="R86" s="1">
        <v>7.6334999999999997</v>
      </c>
      <c r="S86" s="1">
        <v>6.9669999999999996</v>
      </c>
      <c r="T86" s="1">
        <v>8.8319999999999901</v>
      </c>
      <c r="U86" s="1">
        <v>4.4420000000000002</v>
      </c>
      <c r="V86" s="1">
        <v>5.0797499999999998</v>
      </c>
      <c r="W86" s="1">
        <v>5.1265000000000001</v>
      </c>
      <c r="Y86" s="1">
        <v>4.6219999999999999</v>
      </c>
      <c r="Z86" s="1">
        <v>4.1369999999999996</v>
      </c>
      <c r="AA86" s="1">
        <v>3.3039999999999998</v>
      </c>
      <c r="AB86" s="1">
        <v>5.0677500000000002</v>
      </c>
    </row>
    <row r="87" spans="1:28" ht="16" x14ac:dyDescent="0.2">
      <c r="A87" s="1">
        <v>239</v>
      </c>
      <c r="B87" s="1" t="s">
        <v>129</v>
      </c>
      <c r="C87" s="1" t="s">
        <v>130</v>
      </c>
      <c r="D87" s="1" t="s">
        <v>26</v>
      </c>
      <c r="F87" s="1">
        <v>9.4905000000000008</v>
      </c>
      <c r="G87" s="1">
        <v>9.7650000000000006</v>
      </c>
      <c r="H87" s="1">
        <v>8.0549999999999997</v>
      </c>
      <c r="J87" s="1">
        <v>8.0549999999999997</v>
      </c>
      <c r="K87" s="1">
        <v>3.1484999999999999</v>
      </c>
      <c r="L87" s="1">
        <v>0</v>
      </c>
      <c r="M87" s="1">
        <v>4.2525000000000004</v>
      </c>
      <c r="N87" s="1">
        <v>7.8633333333333297</v>
      </c>
      <c r="O87" s="1">
        <v>8.1974999999999891</v>
      </c>
      <c r="Q87" s="1">
        <v>7.8633333333333297</v>
      </c>
      <c r="R87" s="1">
        <v>8.1974999999999891</v>
      </c>
      <c r="S87" s="1">
        <v>9.5060000000000002</v>
      </c>
      <c r="T87" s="1">
        <v>5.0523333333333298</v>
      </c>
      <c r="U87" s="1">
        <v>0.86250000000000004</v>
      </c>
      <c r="V87" s="1">
        <v>3.19674999999999</v>
      </c>
      <c r="W87" s="1">
        <v>2.2509999999999999</v>
      </c>
      <c r="Y87" s="1">
        <v>4.0869999999999997</v>
      </c>
      <c r="Z87" s="1">
        <v>4.9189999999999996</v>
      </c>
      <c r="AA87" s="1">
        <v>5.4775</v>
      </c>
      <c r="AB87" s="1">
        <v>5.6442500000000004</v>
      </c>
    </row>
    <row r="88" spans="1:28" ht="16" x14ac:dyDescent="0.2">
      <c r="A88" s="1">
        <v>11</v>
      </c>
      <c r="B88" s="1" t="s">
        <v>131</v>
      </c>
      <c r="C88" s="1" t="s">
        <v>130</v>
      </c>
      <c r="D88" s="1" t="s">
        <v>6</v>
      </c>
      <c r="F88" s="1">
        <v>4.9755000000000003</v>
      </c>
      <c r="G88" s="1">
        <v>5.2409999999999997</v>
      </c>
      <c r="H88" s="1">
        <v>4.2039999999999997</v>
      </c>
      <c r="J88" s="1">
        <v>4.2039999999999997</v>
      </c>
      <c r="K88" s="1">
        <v>8.8350000000000009</v>
      </c>
      <c r="L88" s="1">
        <v>7.2569999999999997</v>
      </c>
      <c r="M88" s="1">
        <v>6.5145</v>
      </c>
      <c r="N88" s="1">
        <v>8.6709999999999994</v>
      </c>
      <c r="O88" s="1">
        <v>4.0620000000000003</v>
      </c>
      <c r="Q88" s="1">
        <v>8.6709999999999994</v>
      </c>
      <c r="R88" s="1">
        <v>4.0620000000000003</v>
      </c>
      <c r="S88" s="1">
        <v>2.6724999999999999</v>
      </c>
      <c r="T88" s="1">
        <v>6.0233333333333299</v>
      </c>
      <c r="U88" s="1">
        <v>6.4569999999999901</v>
      </c>
      <c r="V88" s="1">
        <v>5.8177499999999904</v>
      </c>
      <c r="W88" s="1">
        <v>5.2915000000000001</v>
      </c>
      <c r="Y88" s="1">
        <v>6.4805000000000001</v>
      </c>
      <c r="Z88" s="1">
        <v>7.7654999999999896</v>
      </c>
      <c r="AA88" s="1">
        <v>5.0095000000000001</v>
      </c>
      <c r="AB88" s="1">
        <v>3.8977499999999998</v>
      </c>
    </row>
    <row r="89" spans="1:28" ht="16" x14ac:dyDescent="0.2">
      <c r="A89" s="1">
        <v>26</v>
      </c>
      <c r="B89" s="1" t="s">
        <v>132</v>
      </c>
      <c r="C89" s="1" t="s">
        <v>133</v>
      </c>
      <c r="D89" s="1" t="s">
        <v>26</v>
      </c>
      <c r="F89" s="1">
        <v>6.3949999999999996</v>
      </c>
      <c r="G89" s="1">
        <v>5.524</v>
      </c>
      <c r="H89" s="1">
        <v>3.90349999999999</v>
      </c>
      <c r="J89" s="1">
        <v>3.90349999999999</v>
      </c>
      <c r="K89" s="1">
        <v>9.0849999999999902</v>
      </c>
      <c r="L89" s="1">
        <v>7.82</v>
      </c>
      <c r="M89" s="1">
        <v>5.3734999999999999</v>
      </c>
      <c r="N89" s="1">
        <v>9.0723333333333294</v>
      </c>
      <c r="O89" s="1">
        <v>7.1774999999999904</v>
      </c>
      <c r="Q89" s="1">
        <v>9.0723333333333294</v>
      </c>
      <c r="R89" s="1">
        <v>7.1774999999999904</v>
      </c>
      <c r="S89" s="1">
        <v>7.2515000000000001</v>
      </c>
      <c r="T89" s="1">
        <v>7.9906666666666597</v>
      </c>
      <c r="U89" s="1">
        <v>7.0190000000000001</v>
      </c>
      <c r="V89" s="1">
        <v>6.7714999999999996</v>
      </c>
      <c r="W89" s="1">
        <v>7.0249999999999897</v>
      </c>
      <c r="Y89" s="1">
        <v>4.6779999999999902</v>
      </c>
      <c r="Z89" s="1">
        <v>8.8810000000000002</v>
      </c>
      <c r="AA89" s="1">
        <v>5.4749999999999996</v>
      </c>
      <c r="AB89" s="1">
        <v>6.1959999999999997</v>
      </c>
    </row>
    <row r="90" spans="1:28" ht="16" x14ac:dyDescent="0.2">
      <c r="A90" s="1">
        <v>66</v>
      </c>
      <c r="B90" s="1" t="s">
        <v>134</v>
      </c>
      <c r="C90" s="1" t="s">
        <v>133</v>
      </c>
      <c r="D90" s="1" t="s">
        <v>26</v>
      </c>
      <c r="F90" s="1">
        <v>6.5265000000000004</v>
      </c>
      <c r="G90" s="1">
        <v>5.6069999999999904</v>
      </c>
      <c r="H90" s="1">
        <v>3.90349999999999</v>
      </c>
      <c r="J90" s="1">
        <v>3.90349999999999</v>
      </c>
      <c r="K90" s="1">
        <v>5.1064999999999996</v>
      </c>
      <c r="L90" s="1">
        <v>3.278</v>
      </c>
      <c r="M90" s="1">
        <v>5.3734999999999999</v>
      </c>
      <c r="N90" s="1">
        <v>9.0723333333333294</v>
      </c>
      <c r="O90" s="1">
        <v>6.7115</v>
      </c>
      <c r="Q90" s="1">
        <v>9.0723333333333294</v>
      </c>
      <c r="R90" s="1">
        <v>6.7115</v>
      </c>
      <c r="S90" s="1">
        <v>6.6295000000000002</v>
      </c>
      <c r="T90" s="1">
        <v>8.0399999999999991</v>
      </c>
      <c r="U90" s="1">
        <v>5.1034999999999897</v>
      </c>
      <c r="V90" s="1">
        <v>6.48</v>
      </c>
      <c r="W90" s="1">
        <v>7.282</v>
      </c>
      <c r="Y90" s="1">
        <v>5.6660000000000004</v>
      </c>
      <c r="Z90" s="1">
        <v>5.3224999999999998</v>
      </c>
      <c r="AA90" s="1">
        <v>5.2889999999999997</v>
      </c>
      <c r="AB90" s="1">
        <v>5.3817499999999896</v>
      </c>
    </row>
    <row r="91" spans="1:28" ht="16" x14ac:dyDescent="0.2">
      <c r="A91" s="1">
        <v>79</v>
      </c>
      <c r="B91" s="1" t="s">
        <v>135</v>
      </c>
      <c r="C91" s="1" t="s">
        <v>133</v>
      </c>
      <c r="D91" s="1" t="s">
        <v>26</v>
      </c>
      <c r="F91" s="1">
        <v>7.8845000000000001</v>
      </c>
      <c r="G91" s="1">
        <v>6.0279999999999996</v>
      </c>
      <c r="H91" s="1">
        <v>3.90349999999999</v>
      </c>
      <c r="J91" s="1">
        <v>3.90349999999999</v>
      </c>
      <c r="K91" s="1">
        <v>2.4064999999999999</v>
      </c>
      <c r="L91" s="1">
        <v>1.5329999999999999</v>
      </c>
      <c r="M91" s="1">
        <v>5.3734999999999999</v>
      </c>
      <c r="N91" s="1">
        <v>9.0723333333333294</v>
      </c>
      <c r="O91" s="1">
        <v>7.3689999999999998</v>
      </c>
      <c r="Q91" s="1">
        <v>9.0723333333333294</v>
      </c>
      <c r="R91" s="1">
        <v>7.3689999999999998</v>
      </c>
      <c r="S91" s="1">
        <v>8.4639999999999898</v>
      </c>
      <c r="T91" s="1">
        <v>8.3936666666666593</v>
      </c>
      <c r="U91" s="1">
        <v>5.1245000000000003</v>
      </c>
      <c r="V91" s="1">
        <v>8.1107499999999995</v>
      </c>
      <c r="W91" s="1">
        <v>3.536</v>
      </c>
      <c r="Y91" s="1">
        <v>5.6035000000000004</v>
      </c>
      <c r="Z91" s="1">
        <v>6.6384999999999996</v>
      </c>
      <c r="AA91" s="1">
        <v>4.649</v>
      </c>
      <c r="AB91" s="1">
        <v>4.9599999999999902</v>
      </c>
    </row>
    <row r="92" spans="1:28" ht="16" x14ac:dyDescent="0.2">
      <c r="A92" s="1">
        <v>82</v>
      </c>
      <c r="B92" s="1" t="s">
        <v>136</v>
      </c>
      <c r="C92" s="1" t="s">
        <v>133</v>
      </c>
      <c r="D92" s="1" t="s">
        <v>26</v>
      </c>
      <c r="F92" s="1">
        <v>6.282</v>
      </c>
      <c r="G92" s="1">
        <v>5.1339999999999897</v>
      </c>
      <c r="H92" s="1">
        <v>3.90349999999999</v>
      </c>
      <c r="J92" s="1">
        <v>3.90349999999999</v>
      </c>
      <c r="K92" s="1">
        <v>3.3889999999999998</v>
      </c>
      <c r="L92" s="1">
        <v>2.23</v>
      </c>
      <c r="M92" s="1">
        <v>5.3734999999999999</v>
      </c>
      <c r="N92" s="1">
        <v>9.0723333333333294</v>
      </c>
      <c r="O92" s="1">
        <v>7.8684999999999903</v>
      </c>
      <c r="Q92" s="1">
        <v>9.0723333333333294</v>
      </c>
      <c r="R92" s="1">
        <v>7.8684999999999903</v>
      </c>
      <c r="S92" s="1">
        <v>8.1660000000000004</v>
      </c>
      <c r="T92" s="1">
        <v>8.0036666666666605</v>
      </c>
      <c r="U92" s="1">
        <v>4.3064999999999998</v>
      </c>
      <c r="V92" s="1">
        <v>7.37549999999999</v>
      </c>
      <c r="W92" s="1">
        <v>6.6695000000000002</v>
      </c>
      <c r="Y92" s="1">
        <v>5.6660000000000004</v>
      </c>
      <c r="Z92" s="1">
        <v>4.6639999999999997</v>
      </c>
      <c r="AA92" s="1">
        <v>5.3585000000000003</v>
      </c>
      <c r="AB92" s="1">
        <v>5.2830000000000004</v>
      </c>
    </row>
    <row r="93" spans="1:28" ht="16" x14ac:dyDescent="0.2">
      <c r="A93" s="1">
        <v>90</v>
      </c>
      <c r="B93" s="1" t="s">
        <v>137</v>
      </c>
      <c r="C93" s="1" t="s">
        <v>133</v>
      </c>
      <c r="D93" s="1" t="s">
        <v>26</v>
      </c>
      <c r="F93" s="1">
        <v>5.9569999999999999</v>
      </c>
      <c r="G93" s="1">
        <v>5.1429999999999998</v>
      </c>
      <c r="H93" s="1">
        <v>3.90349999999999</v>
      </c>
      <c r="J93" s="1">
        <v>3.90349999999999</v>
      </c>
      <c r="K93" s="1">
        <v>3.7679999999999998</v>
      </c>
      <c r="L93" s="1">
        <v>3.3989999999999898</v>
      </c>
      <c r="M93" s="1">
        <v>5.3734999999999999</v>
      </c>
      <c r="N93" s="1">
        <v>9.0723333333333294</v>
      </c>
      <c r="O93" s="1">
        <v>7.0345000000000004</v>
      </c>
      <c r="Q93" s="1">
        <v>9.0723333333333294</v>
      </c>
      <c r="R93" s="1">
        <v>7.0345000000000004</v>
      </c>
      <c r="S93" s="1">
        <v>6.8375000000000004</v>
      </c>
      <c r="T93" s="1">
        <v>7.70733333333333</v>
      </c>
      <c r="U93" s="1">
        <v>5.2065000000000001</v>
      </c>
      <c r="V93" s="1">
        <v>6.4755000000000003</v>
      </c>
      <c r="W93" s="1">
        <v>8.5289999999999999</v>
      </c>
      <c r="Y93" s="1">
        <v>4.0789999999999997</v>
      </c>
      <c r="Z93" s="1">
        <v>6.492</v>
      </c>
      <c r="AA93" s="1">
        <v>5.3840000000000003</v>
      </c>
      <c r="AB93" s="1">
        <v>5.923</v>
      </c>
    </row>
    <row r="94" spans="1:28" ht="16" x14ac:dyDescent="0.2">
      <c r="A94" s="1">
        <v>102</v>
      </c>
      <c r="B94" s="1" t="s">
        <v>138</v>
      </c>
      <c r="C94" s="1" t="s">
        <v>133</v>
      </c>
      <c r="D94" s="1" t="s">
        <v>26</v>
      </c>
      <c r="F94" s="1">
        <v>5.9444999999999997</v>
      </c>
      <c r="G94" s="1">
        <v>4.9039999999999999</v>
      </c>
      <c r="H94" s="1">
        <v>3.90349999999999</v>
      </c>
      <c r="J94" s="1">
        <v>3.90349999999999</v>
      </c>
      <c r="K94" s="1">
        <v>5.7939999999999898</v>
      </c>
      <c r="L94" s="1">
        <v>4.1970000000000001</v>
      </c>
      <c r="M94" s="1">
        <v>5.3734999999999999</v>
      </c>
      <c r="N94" s="1">
        <v>9.0723333333333294</v>
      </c>
      <c r="O94" s="1">
        <v>7.1629999999999896</v>
      </c>
      <c r="Q94" s="1">
        <v>9.0723333333333294</v>
      </c>
      <c r="R94" s="1">
        <v>7.1629999999999896</v>
      </c>
      <c r="S94" s="1">
        <v>6.4589999999999996</v>
      </c>
      <c r="T94" s="1">
        <v>8.1299999999999901</v>
      </c>
      <c r="U94" s="1">
        <v>4.3064999999999998</v>
      </c>
      <c r="V94" s="1">
        <v>8.1239999999999899</v>
      </c>
      <c r="W94" s="1">
        <v>5.6849999999999996</v>
      </c>
      <c r="Y94" s="1">
        <v>5.5604999999999896</v>
      </c>
      <c r="Z94" s="1">
        <v>6.3525</v>
      </c>
      <c r="AA94" s="1">
        <v>5.0880000000000001</v>
      </c>
      <c r="AB94" s="1">
        <v>5.8265000000000002</v>
      </c>
    </row>
    <row r="95" spans="1:28" ht="16" x14ac:dyDescent="0.2">
      <c r="A95" s="1">
        <v>103</v>
      </c>
      <c r="B95" s="1" t="s">
        <v>139</v>
      </c>
      <c r="C95" s="1" t="s">
        <v>133</v>
      </c>
      <c r="D95" s="1" t="s">
        <v>26</v>
      </c>
      <c r="F95" s="1">
        <v>7.7539999999999996</v>
      </c>
      <c r="G95" s="1">
        <v>6</v>
      </c>
      <c r="H95" s="1">
        <v>3.90349999999999</v>
      </c>
      <c r="J95" s="1">
        <v>3.90349999999999</v>
      </c>
      <c r="K95" s="1">
        <v>1</v>
      </c>
      <c r="L95" s="1">
        <v>0</v>
      </c>
      <c r="M95" s="1">
        <v>5.3734999999999999</v>
      </c>
      <c r="N95" s="1">
        <v>9.0723333333333294</v>
      </c>
      <c r="O95" s="1">
        <v>7.266</v>
      </c>
      <c r="Q95" s="1">
        <v>9.0723333333333294</v>
      </c>
      <c r="R95" s="1">
        <v>7.266</v>
      </c>
      <c r="S95" s="1">
        <v>7.3525</v>
      </c>
      <c r="T95" s="1">
        <v>8.1336666666666595</v>
      </c>
      <c r="U95" s="1">
        <v>4.8339999999999996</v>
      </c>
      <c r="V95" s="1">
        <v>9.1312499999999996</v>
      </c>
      <c r="W95" s="1">
        <v>5.6459999999999999</v>
      </c>
      <c r="Y95" s="1">
        <v>5.6660000000000004</v>
      </c>
      <c r="Z95" s="1">
        <v>3.5255000000000001</v>
      </c>
      <c r="AA95" s="1">
        <v>4.2664999999999997</v>
      </c>
      <c r="AB95" s="1">
        <v>6.5497499999999897</v>
      </c>
    </row>
    <row r="96" spans="1:28" ht="16" x14ac:dyDescent="0.2">
      <c r="A96" s="1">
        <v>118</v>
      </c>
      <c r="B96" s="1" t="s">
        <v>140</v>
      </c>
      <c r="C96" s="1" t="s">
        <v>133</v>
      </c>
      <c r="D96" s="1" t="s">
        <v>26</v>
      </c>
      <c r="F96" s="1">
        <v>7.7644999999999902</v>
      </c>
      <c r="G96" s="1">
        <v>5.2939999999999996</v>
      </c>
      <c r="H96" s="1">
        <v>3.90349999999999</v>
      </c>
      <c r="J96" s="1">
        <v>3.90349999999999</v>
      </c>
      <c r="K96" s="1">
        <v>2.99399999999999</v>
      </c>
      <c r="L96" s="1">
        <v>1.2989999999999999</v>
      </c>
      <c r="M96" s="1">
        <v>5.3734999999999999</v>
      </c>
      <c r="N96" s="1">
        <v>9.0723333333333294</v>
      </c>
      <c r="O96" s="1">
        <v>8.3369999999999997</v>
      </c>
      <c r="Q96" s="1">
        <v>9.0723333333333294</v>
      </c>
      <c r="R96" s="1">
        <v>8.3369999999999997</v>
      </c>
      <c r="S96" s="1">
        <v>6.8579999999999997</v>
      </c>
      <c r="T96" s="1">
        <v>8.4120000000000008</v>
      </c>
      <c r="U96" s="1">
        <v>5.2074999999999996</v>
      </c>
      <c r="V96" s="1">
        <v>7.7675000000000001</v>
      </c>
      <c r="W96" s="1">
        <v>4.7984999999999998</v>
      </c>
      <c r="Y96" s="1">
        <v>4.5945</v>
      </c>
      <c r="Z96" s="1">
        <v>3.9864999999999999</v>
      </c>
      <c r="AA96" s="1">
        <v>4.5884999999999998</v>
      </c>
      <c r="AB96" s="1">
        <v>4.9054999999999902</v>
      </c>
    </row>
    <row r="97" spans="1:28" ht="16" x14ac:dyDescent="0.2">
      <c r="A97" s="1">
        <v>132</v>
      </c>
      <c r="B97" s="1" t="s">
        <v>141</v>
      </c>
      <c r="C97" s="1" t="s">
        <v>133</v>
      </c>
      <c r="D97" s="1" t="s">
        <v>26</v>
      </c>
      <c r="F97" s="1">
        <v>8.1769999999999996</v>
      </c>
      <c r="G97" s="1">
        <v>5.9109999999999996</v>
      </c>
      <c r="H97" s="1">
        <v>3.90349999999999</v>
      </c>
      <c r="J97" s="1">
        <v>3.90349999999999</v>
      </c>
      <c r="K97" s="1">
        <v>2.7065000000000001</v>
      </c>
      <c r="L97" s="1">
        <v>0</v>
      </c>
      <c r="M97" s="1">
        <v>5.3734999999999999</v>
      </c>
      <c r="N97" s="1">
        <v>9.0723333333333294</v>
      </c>
      <c r="O97" s="1">
        <v>7.1935000000000002</v>
      </c>
      <c r="Q97" s="1">
        <v>9.0723333333333294</v>
      </c>
      <c r="R97" s="1">
        <v>7.1935000000000002</v>
      </c>
      <c r="S97" s="1">
        <v>7.2770000000000001</v>
      </c>
      <c r="T97" s="1">
        <v>7.30033333333333</v>
      </c>
      <c r="U97" s="1">
        <v>4.3064999999999998</v>
      </c>
      <c r="V97" s="1">
        <v>9.0327500000000001</v>
      </c>
      <c r="W97" s="1">
        <v>4.3369999999999997</v>
      </c>
      <c r="Y97" s="1">
        <v>5.6464999999999996</v>
      </c>
      <c r="Z97" s="1">
        <v>4.5264999999999898</v>
      </c>
      <c r="AA97" s="1">
        <v>4.7469999999999999</v>
      </c>
      <c r="AB97" s="1">
        <v>6.0137499999999999</v>
      </c>
    </row>
    <row r="98" spans="1:28" ht="16" x14ac:dyDescent="0.2">
      <c r="A98" s="1">
        <v>165</v>
      </c>
      <c r="B98" s="1" t="s">
        <v>142</v>
      </c>
      <c r="C98" s="1" t="s">
        <v>133</v>
      </c>
      <c r="D98" s="1" t="s">
        <v>26</v>
      </c>
      <c r="F98" s="1">
        <v>4.2300000000000004</v>
      </c>
      <c r="G98" s="1">
        <v>4.6479999999999997</v>
      </c>
      <c r="H98" s="1">
        <v>3.90349999999999</v>
      </c>
      <c r="J98" s="1">
        <v>3.90349999999999</v>
      </c>
      <c r="K98" s="1">
        <v>6.915</v>
      </c>
      <c r="L98" s="1">
        <v>6.5090000000000003</v>
      </c>
      <c r="M98" s="1">
        <v>5.3734999999999999</v>
      </c>
      <c r="N98" s="1">
        <v>9.0723333333333294</v>
      </c>
      <c r="O98" s="1">
        <v>8.4745000000000008</v>
      </c>
      <c r="Q98" s="1">
        <v>9.0723333333333294</v>
      </c>
      <c r="R98" s="1">
        <v>8.4745000000000008</v>
      </c>
      <c r="S98" s="1">
        <v>9.0489999999999995</v>
      </c>
      <c r="T98" s="1">
        <v>8.3709999999999898</v>
      </c>
      <c r="U98" s="1">
        <v>7.5544999999999902</v>
      </c>
      <c r="V98" s="1">
        <v>9.0182500000000001</v>
      </c>
      <c r="W98" s="1">
        <v>8.0564999999999998</v>
      </c>
      <c r="Y98" s="1">
        <v>5.1550000000000002</v>
      </c>
      <c r="Z98" s="1">
        <v>7.3359999999999896</v>
      </c>
      <c r="AA98" s="1">
        <v>7.3309999999999897</v>
      </c>
      <c r="AB98" s="1">
        <v>6.0139999999999896</v>
      </c>
    </row>
    <row r="99" spans="1:28" ht="16" x14ac:dyDescent="0.2">
      <c r="A99" s="1">
        <v>231</v>
      </c>
      <c r="B99" s="1" t="s">
        <v>143</v>
      </c>
      <c r="C99" s="1" t="s">
        <v>133</v>
      </c>
      <c r="D99" s="1" t="s">
        <v>26</v>
      </c>
      <c r="F99" s="1">
        <v>6.3140000000000001</v>
      </c>
      <c r="G99" s="1">
        <v>5.673</v>
      </c>
      <c r="H99" s="1">
        <v>3.90349999999999</v>
      </c>
      <c r="J99" s="1">
        <v>3.90349999999999</v>
      </c>
      <c r="K99" s="1">
        <v>3.7565</v>
      </c>
      <c r="L99" s="1">
        <v>1.9359999999999999</v>
      </c>
      <c r="M99" s="1">
        <v>5.3734999999999999</v>
      </c>
      <c r="N99" s="1">
        <v>9.0723333333333294</v>
      </c>
      <c r="O99" s="1">
        <v>7.5334999999999903</v>
      </c>
      <c r="Q99" s="1">
        <v>9.0723333333333294</v>
      </c>
      <c r="R99" s="1">
        <v>7.5334999999999903</v>
      </c>
      <c r="S99" s="1">
        <v>8.2695000000000007</v>
      </c>
      <c r="T99" s="1">
        <v>7.8513333333333302</v>
      </c>
      <c r="U99" s="1">
        <v>5.0504999999999898</v>
      </c>
      <c r="V99" s="1">
        <v>7.2249999999999996</v>
      </c>
      <c r="W99" s="1">
        <v>5.9645000000000001</v>
      </c>
      <c r="Y99" s="1">
        <v>5.1239999999999997</v>
      </c>
      <c r="Z99" s="1">
        <v>5.556</v>
      </c>
      <c r="AA99" s="1">
        <v>3.9494999999999898</v>
      </c>
      <c r="AB99" s="1">
        <v>6.20549999999999</v>
      </c>
    </row>
    <row r="100" spans="1:28" ht="16" x14ac:dyDescent="0.2">
      <c r="A100" s="1">
        <v>95</v>
      </c>
      <c r="B100" s="1" t="s">
        <v>144</v>
      </c>
      <c r="C100" s="1" t="s">
        <v>145</v>
      </c>
      <c r="D100" s="1" t="s">
        <v>26</v>
      </c>
      <c r="F100" s="1">
        <v>1.1119999999999901</v>
      </c>
      <c r="G100" s="1">
        <v>0</v>
      </c>
      <c r="H100" s="1">
        <v>2.9129999999999998</v>
      </c>
      <c r="J100" s="1">
        <v>2.9129999999999998</v>
      </c>
      <c r="K100" s="1">
        <v>2.8419999999999899</v>
      </c>
      <c r="L100" s="1">
        <v>1.5659999999999901</v>
      </c>
      <c r="M100" s="1">
        <v>0</v>
      </c>
      <c r="N100" s="1">
        <v>0</v>
      </c>
      <c r="O100" s="1">
        <v>4.4264999999999999</v>
      </c>
      <c r="Q100" s="1">
        <v>0</v>
      </c>
      <c r="R100" s="1">
        <v>4.4264999999999999</v>
      </c>
      <c r="S100" s="1">
        <v>9.3374999999999897</v>
      </c>
      <c r="T100" s="1">
        <v>3.0233333333333299</v>
      </c>
      <c r="U100" s="1">
        <v>0</v>
      </c>
      <c r="V100" s="1">
        <v>5.1835000000000004</v>
      </c>
      <c r="W100" s="1">
        <v>0.75800000000000001</v>
      </c>
      <c r="Y100" s="1">
        <v>4.2960000000000003</v>
      </c>
      <c r="Z100" s="1">
        <v>2.2349999999999999</v>
      </c>
      <c r="AA100" s="1">
        <v>4.7565</v>
      </c>
      <c r="AB100" s="1">
        <v>0</v>
      </c>
    </row>
    <row r="101" spans="1:28" ht="16" x14ac:dyDescent="0.2">
      <c r="A101" s="1">
        <v>10</v>
      </c>
      <c r="B101" s="1" t="s">
        <v>146</v>
      </c>
      <c r="C101" s="1" t="s">
        <v>147</v>
      </c>
      <c r="D101" s="1" t="s">
        <v>26</v>
      </c>
      <c r="F101" s="1">
        <v>9.0524999999999896</v>
      </c>
      <c r="G101" s="1">
        <v>6.5</v>
      </c>
      <c r="H101" s="1">
        <v>4.1665000000000001</v>
      </c>
      <c r="J101" s="1">
        <v>4.1665000000000001</v>
      </c>
      <c r="K101" s="1">
        <v>4.4039999999999999</v>
      </c>
      <c r="L101" s="1">
        <v>2.3250000000000002</v>
      </c>
      <c r="M101" s="1">
        <v>3.3199999999999901</v>
      </c>
      <c r="N101" s="1">
        <v>6.1689999999999898</v>
      </c>
      <c r="O101" s="1">
        <v>6.2679999999999998</v>
      </c>
      <c r="Q101" s="1">
        <v>6.1689999999999898</v>
      </c>
      <c r="R101" s="1">
        <v>6.2679999999999998</v>
      </c>
      <c r="S101" s="1">
        <v>6.7584999999999997</v>
      </c>
      <c r="T101" s="1">
        <v>7.1529999999999996</v>
      </c>
      <c r="U101" s="1">
        <v>3.1624999999999899</v>
      </c>
      <c r="V101" s="1">
        <v>3.8022499999999999</v>
      </c>
      <c r="W101" s="1">
        <v>3.7069999999999999</v>
      </c>
      <c r="Y101" s="1">
        <v>2.22799999999999</v>
      </c>
      <c r="Z101" s="1">
        <v>7.8760000000000003</v>
      </c>
      <c r="AA101" s="1">
        <v>6.4829999999999997</v>
      </c>
      <c r="AB101" s="1">
        <v>5.2197499999999897</v>
      </c>
    </row>
    <row r="102" spans="1:28" ht="16" x14ac:dyDescent="0.2">
      <c r="A102" s="1">
        <v>243</v>
      </c>
      <c r="B102" s="1" t="s">
        <v>148</v>
      </c>
      <c r="C102" s="1" t="s">
        <v>147</v>
      </c>
      <c r="D102" s="1" t="s">
        <v>26</v>
      </c>
      <c r="F102" s="1">
        <v>9.3774999999999995</v>
      </c>
      <c r="G102" s="1">
        <v>6.6</v>
      </c>
      <c r="H102" s="1">
        <v>4.1665000000000001</v>
      </c>
      <c r="J102" s="1">
        <v>4.1665000000000001</v>
      </c>
      <c r="K102" s="1">
        <v>3.25</v>
      </c>
      <c r="L102" s="1">
        <v>0</v>
      </c>
      <c r="M102" s="1">
        <v>3.3199999999999901</v>
      </c>
      <c r="N102" s="1">
        <v>6.1689999999999898</v>
      </c>
      <c r="O102" s="1">
        <v>7.5234999999999896</v>
      </c>
      <c r="Q102" s="1">
        <v>6.1689999999999898</v>
      </c>
      <c r="R102" s="1">
        <v>7.5234999999999896</v>
      </c>
      <c r="S102" s="1">
        <v>7.992</v>
      </c>
      <c r="T102" s="1">
        <v>7.5089999999999897</v>
      </c>
      <c r="U102" s="1">
        <v>3.1635</v>
      </c>
      <c r="V102" s="1">
        <v>3.3382499999999999</v>
      </c>
      <c r="W102" s="1">
        <v>2.2604999999999902</v>
      </c>
      <c r="Y102" s="1">
        <v>2.5960000000000001</v>
      </c>
      <c r="Z102" s="1">
        <v>7.6890000000000001</v>
      </c>
      <c r="AA102" s="1">
        <v>4.665</v>
      </c>
      <c r="AB102" s="1">
        <v>5.9137500000000003</v>
      </c>
    </row>
    <row r="103" spans="1:28" ht="32" x14ac:dyDescent="0.2">
      <c r="A103" s="1">
        <v>100</v>
      </c>
      <c r="B103" s="1" t="s">
        <v>149</v>
      </c>
      <c r="C103" s="1" t="s">
        <v>150</v>
      </c>
      <c r="D103" s="1" t="s">
        <v>6</v>
      </c>
      <c r="F103" s="1">
        <v>8.8125</v>
      </c>
      <c r="G103" s="1">
        <v>8.1750000000000007</v>
      </c>
      <c r="H103" s="1">
        <v>8.5050000000000008</v>
      </c>
      <c r="J103" s="1">
        <v>8.5050000000000008</v>
      </c>
      <c r="K103" s="1">
        <v>2.641</v>
      </c>
      <c r="L103" s="1">
        <v>1.673</v>
      </c>
      <c r="M103" s="1">
        <v>3.8050000000000002</v>
      </c>
      <c r="N103" s="1">
        <v>4.6169999999999902</v>
      </c>
      <c r="O103" s="1">
        <v>7.157</v>
      </c>
      <c r="Q103" s="1">
        <v>4.6169999999999902</v>
      </c>
      <c r="R103" s="1">
        <v>7.157</v>
      </c>
      <c r="S103" s="1">
        <v>6.1390000000000002</v>
      </c>
      <c r="T103" s="1">
        <v>4.7636666666666603</v>
      </c>
      <c r="U103" s="1">
        <v>0</v>
      </c>
      <c r="V103" s="1">
        <v>3.7577500000000001</v>
      </c>
      <c r="W103" s="1">
        <v>0.8145</v>
      </c>
      <c r="Y103" s="1">
        <v>2.5059999999999998</v>
      </c>
      <c r="Z103" s="1">
        <v>5.1645000000000003</v>
      </c>
      <c r="AA103" s="1">
        <v>4.1334999999999997</v>
      </c>
      <c r="AB103" s="1">
        <v>0.52374999999999905</v>
      </c>
    </row>
    <row r="104" spans="1:28" ht="16" x14ac:dyDescent="0.2">
      <c r="A104" s="1">
        <v>108</v>
      </c>
      <c r="B104" s="1" t="s">
        <v>151</v>
      </c>
      <c r="C104" s="1" t="s">
        <v>152</v>
      </c>
      <c r="D104" s="1" t="s">
        <v>6</v>
      </c>
      <c r="F104" s="1">
        <v>2.3414999999999999</v>
      </c>
      <c r="G104" s="1">
        <v>2.867</v>
      </c>
      <c r="H104" s="1">
        <v>4.2039999999999997</v>
      </c>
      <c r="J104" s="1">
        <v>4.2039999999999997</v>
      </c>
      <c r="K104" s="1">
        <v>4.1334999999999997</v>
      </c>
      <c r="L104" s="1">
        <v>0</v>
      </c>
      <c r="M104" s="1">
        <v>6.5145</v>
      </c>
      <c r="N104" s="1">
        <v>8.6709999999999994</v>
      </c>
      <c r="O104" s="1">
        <v>7.774</v>
      </c>
      <c r="Q104" s="1">
        <v>8.6709999999999994</v>
      </c>
      <c r="R104" s="1">
        <v>7.774</v>
      </c>
      <c r="S104" s="1">
        <v>6.8564999999999996</v>
      </c>
      <c r="T104" s="1">
        <v>6.4309999999999903</v>
      </c>
      <c r="U104" s="1">
        <v>4.2805</v>
      </c>
      <c r="V104" s="1">
        <v>6.0940000000000003</v>
      </c>
      <c r="W104" s="1">
        <v>1.9830000000000001</v>
      </c>
      <c r="Y104" s="1">
        <v>6.1580000000000004</v>
      </c>
      <c r="Z104" s="1">
        <v>7.6229999999999896</v>
      </c>
      <c r="AA104" s="1">
        <v>5.9175000000000004</v>
      </c>
      <c r="AB104" s="1">
        <v>4.1617499999999996</v>
      </c>
    </row>
    <row r="105" spans="1:28" ht="16" x14ac:dyDescent="0.2">
      <c r="A105" s="1">
        <v>107</v>
      </c>
      <c r="B105" s="1" t="s">
        <v>153</v>
      </c>
      <c r="C105" s="1" t="s">
        <v>154</v>
      </c>
      <c r="D105" s="1" t="s">
        <v>16</v>
      </c>
      <c r="F105" s="1">
        <v>1</v>
      </c>
      <c r="G105" s="1">
        <v>4.9669999999999996</v>
      </c>
      <c r="H105" s="1">
        <v>8.3804999999999907</v>
      </c>
      <c r="J105" s="1">
        <v>8.3804999999999907</v>
      </c>
      <c r="K105" s="1">
        <v>8.343</v>
      </c>
      <c r="L105" s="1">
        <v>8.3140000000000001</v>
      </c>
      <c r="M105" s="1">
        <v>6.4824999999999999</v>
      </c>
      <c r="N105" s="1">
        <v>9.2943333333333307</v>
      </c>
      <c r="O105" s="1">
        <v>7.1520000000000001</v>
      </c>
      <c r="Q105" s="1">
        <v>9.2943333333333307</v>
      </c>
      <c r="R105" s="1">
        <v>7.1520000000000001</v>
      </c>
      <c r="S105" s="1">
        <v>9.3505000000000003</v>
      </c>
      <c r="T105" s="1">
        <v>4.1539999999999999</v>
      </c>
      <c r="U105" s="1">
        <v>9.7110000000000003</v>
      </c>
      <c r="V105" s="1">
        <v>4.5332499999999998</v>
      </c>
      <c r="W105" s="1">
        <v>3.6789999999999998</v>
      </c>
      <c r="Y105" s="1">
        <v>6.2275</v>
      </c>
      <c r="Z105" s="1">
        <v>7.0584999999999898</v>
      </c>
      <c r="AA105" s="1">
        <v>5.7960000000000003</v>
      </c>
      <c r="AB105" s="1">
        <v>5.5402500000000003</v>
      </c>
    </row>
    <row r="106" spans="1:28" ht="16" x14ac:dyDescent="0.2">
      <c r="A106" s="1">
        <v>45</v>
      </c>
      <c r="B106" s="1" t="s">
        <v>155</v>
      </c>
      <c r="C106" s="1" t="s">
        <v>156</v>
      </c>
      <c r="D106" s="1" t="s">
        <v>26</v>
      </c>
      <c r="F106" s="1">
        <v>8.5704999999999991</v>
      </c>
      <c r="G106" s="1">
        <v>7.9479999999999897</v>
      </c>
      <c r="H106" s="1">
        <v>6.1074999999999999</v>
      </c>
      <c r="J106" s="1">
        <v>6.1074999999999999</v>
      </c>
      <c r="K106" s="1">
        <v>5.4935</v>
      </c>
      <c r="L106" s="1">
        <v>2.8039999999999998</v>
      </c>
      <c r="M106" s="1">
        <v>4.9459999999999997</v>
      </c>
      <c r="N106" s="1">
        <v>6.7079999999999904</v>
      </c>
      <c r="O106" s="1">
        <v>7.2279999999999998</v>
      </c>
      <c r="Q106" s="1">
        <v>6.7079999999999904</v>
      </c>
      <c r="R106" s="1">
        <v>7.2279999999999998</v>
      </c>
      <c r="S106" s="1">
        <v>8.2184999999999899</v>
      </c>
      <c r="T106" s="1">
        <v>5.7459999999999898</v>
      </c>
      <c r="U106" s="1">
        <v>3.6930000000000001</v>
      </c>
      <c r="V106" s="1">
        <v>5.2874999999999996</v>
      </c>
      <c r="W106" s="1">
        <v>4.4264999999999999</v>
      </c>
      <c r="Y106" s="1">
        <v>6.7590000000000003</v>
      </c>
      <c r="Z106" s="1">
        <v>8.2530000000000001</v>
      </c>
      <c r="AA106" s="1">
        <v>5.1120000000000001</v>
      </c>
      <c r="AB106" s="1">
        <v>5.3949999999999996</v>
      </c>
    </row>
    <row r="107" spans="1:28" ht="16" x14ac:dyDescent="0.2">
      <c r="A107" s="1">
        <v>200</v>
      </c>
      <c r="B107" s="1" t="s">
        <v>157</v>
      </c>
      <c r="C107" s="1" t="s">
        <v>158</v>
      </c>
      <c r="D107" s="1" t="s">
        <v>26</v>
      </c>
      <c r="F107" s="1">
        <v>2.7715000000000001</v>
      </c>
      <c r="G107" s="1">
        <v>1</v>
      </c>
      <c r="H107" s="1">
        <v>4.4654999999999996</v>
      </c>
      <c r="J107" s="1">
        <v>4.4654999999999996</v>
      </c>
      <c r="K107" s="1">
        <v>3.1679999999999899</v>
      </c>
      <c r="L107" s="1">
        <v>2.875</v>
      </c>
      <c r="M107" s="1">
        <v>5.2829999999999897</v>
      </c>
      <c r="N107" s="1">
        <v>9.36</v>
      </c>
      <c r="O107" s="1">
        <v>9.5649999999999995</v>
      </c>
      <c r="Q107" s="1">
        <v>9.36</v>
      </c>
      <c r="R107" s="1">
        <v>9.5649999999999995</v>
      </c>
      <c r="S107" s="1">
        <v>8.6579999999999995</v>
      </c>
      <c r="T107" s="1">
        <v>8.07899999999999</v>
      </c>
      <c r="U107" s="1">
        <v>4.0570000000000004</v>
      </c>
      <c r="V107" s="1">
        <v>8.6237499999999994</v>
      </c>
      <c r="W107" s="1">
        <v>1.13499999999999</v>
      </c>
      <c r="Y107" s="1">
        <v>6.742</v>
      </c>
      <c r="Z107" s="1">
        <v>5.0205000000000002</v>
      </c>
      <c r="AA107" s="1">
        <v>4.8034999999999997</v>
      </c>
      <c r="AB107" s="1">
        <v>5.4749999999999996</v>
      </c>
    </row>
    <row r="108" spans="1:28" ht="16" x14ac:dyDescent="0.2">
      <c r="A108" s="1">
        <v>32</v>
      </c>
      <c r="B108" s="1" t="s">
        <v>159</v>
      </c>
      <c r="C108" s="1" t="s">
        <v>160</v>
      </c>
      <c r="D108" s="1" t="s">
        <v>6</v>
      </c>
      <c r="F108" s="1">
        <v>6.9634999999999998</v>
      </c>
      <c r="G108" s="1">
        <v>6.5780000000000003</v>
      </c>
      <c r="H108" s="1">
        <v>4.0620000000000003</v>
      </c>
      <c r="J108" s="1">
        <v>4.0620000000000003</v>
      </c>
      <c r="K108" s="1">
        <v>4.2050000000000001</v>
      </c>
      <c r="L108" s="1">
        <v>2.5960000000000001</v>
      </c>
      <c r="M108" s="1">
        <v>6.5145</v>
      </c>
      <c r="N108" s="1">
        <v>8.6709999999999994</v>
      </c>
      <c r="O108" s="1">
        <v>6.9275000000000002</v>
      </c>
      <c r="Q108" s="1">
        <v>8.6709999999999994</v>
      </c>
      <c r="R108" s="1">
        <v>6.9275000000000002</v>
      </c>
      <c r="S108" s="1">
        <v>4.3605</v>
      </c>
      <c r="T108" s="1">
        <v>6.7973333333333299</v>
      </c>
      <c r="U108" s="1">
        <v>3.6244999999999998</v>
      </c>
      <c r="V108" s="1">
        <v>8.0694999999999997</v>
      </c>
      <c r="W108" s="1">
        <v>1.3234999999999999</v>
      </c>
      <c r="Y108" s="1">
        <v>3.4420000000000002</v>
      </c>
      <c r="Z108" s="1">
        <v>4.1994999999999996</v>
      </c>
      <c r="AA108" s="1">
        <v>5.2210000000000001</v>
      </c>
      <c r="AB108" s="1">
        <v>5.2249999999999996</v>
      </c>
    </row>
    <row r="109" spans="1:28" ht="16" x14ac:dyDescent="0.2">
      <c r="A109" s="1">
        <v>60</v>
      </c>
      <c r="B109" s="1" t="s">
        <v>161</v>
      </c>
      <c r="C109" s="1" t="s">
        <v>162</v>
      </c>
      <c r="D109" s="1" t="s">
        <v>6</v>
      </c>
      <c r="F109" s="1">
        <v>3.702</v>
      </c>
      <c r="G109" s="1">
        <v>4.766</v>
      </c>
      <c r="H109" s="1">
        <v>4.0620000000000003</v>
      </c>
      <c r="J109" s="1">
        <v>4.0620000000000003</v>
      </c>
      <c r="K109" s="1">
        <v>9.5129999999999999</v>
      </c>
      <c r="L109" s="1">
        <v>8.3680000000000003</v>
      </c>
      <c r="M109" s="1">
        <v>6.5145</v>
      </c>
      <c r="N109" s="1">
        <v>8.6709999999999994</v>
      </c>
      <c r="O109" s="1">
        <v>6.1339999999999897</v>
      </c>
      <c r="Q109" s="1">
        <v>8.6709999999999994</v>
      </c>
      <c r="R109" s="1">
        <v>6.1339999999999897</v>
      </c>
      <c r="S109" s="1">
        <v>3.8319999999999999</v>
      </c>
      <c r="T109" s="1">
        <v>6.2159999999999904</v>
      </c>
      <c r="U109" s="1">
        <v>7.9989999999999997</v>
      </c>
      <c r="V109" s="1">
        <v>6.8045</v>
      </c>
      <c r="W109" s="1">
        <v>5.5075000000000003</v>
      </c>
      <c r="Y109" s="1">
        <v>6.5994999999999902</v>
      </c>
      <c r="Z109" s="1">
        <v>8.1929999999999996</v>
      </c>
      <c r="AA109" s="1">
        <v>5.4154999999999998</v>
      </c>
      <c r="AB109" s="1">
        <v>4.5797499999999998</v>
      </c>
    </row>
    <row r="110" spans="1:28" ht="16" x14ac:dyDescent="0.2">
      <c r="A110" s="1">
        <v>24</v>
      </c>
      <c r="B110" s="1" t="s">
        <v>163</v>
      </c>
      <c r="C110" s="1" t="s">
        <v>164</v>
      </c>
      <c r="D110" s="1" t="s">
        <v>16</v>
      </c>
      <c r="F110" s="1">
        <v>9.8109999999999893</v>
      </c>
      <c r="G110" s="1">
        <v>10</v>
      </c>
      <c r="H110" s="1">
        <v>3.4144999999999999</v>
      </c>
      <c r="J110" s="1">
        <v>3.4144999999999999</v>
      </c>
      <c r="K110" s="1">
        <v>10</v>
      </c>
      <c r="L110" s="1">
        <v>8.9729999999999901</v>
      </c>
      <c r="M110" s="1">
        <v>5.5564999999999998</v>
      </c>
      <c r="N110" s="1">
        <v>3.6179999999999901</v>
      </c>
      <c r="O110" s="1">
        <v>3.4844999999999899</v>
      </c>
      <c r="Q110" s="1">
        <v>3.6179999999999901</v>
      </c>
      <c r="R110" s="1">
        <v>3.4844999999999899</v>
      </c>
      <c r="S110" s="1">
        <v>7.2939999999999996</v>
      </c>
      <c r="T110" s="1">
        <v>3.9369999999999901</v>
      </c>
      <c r="U110" s="1">
        <v>0.65600000000000003</v>
      </c>
      <c r="V110" s="1">
        <v>2.7557499999999999</v>
      </c>
      <c r="W110" s="1">
        <v>4.0640000000000001</v>
      </c>
      <c r="Y110" s="1">
        <v>2.84099999999999</v>
      </c>
      <c r="Z110" s="1">
        <v>3.2214999999999998</v>
      </c>
      <c r="AA110" s="1">
        <v>2.3849999999999998</v>
      </c>
      <c r="AB110" s="1">
        <v>4.0062499999999996</v>
      </c>
    </row>
    <row r="111" spans="1:28" ht="16" x14ac:dyDescent="0.2">
      <c r="A111" s="1">
        <v>58</v>
      </c>
      <c r="B111" s="1" t="s">
        <v>165</v>
      </c>
      <c r="C111" s="1" t="s">
        <v>164</v>
      </c>
      <c r="D111" s="1" t="s">
        <v>16</v>
      </c>
      <c r="F111" s="1">
        <v>10</v>
      </c>
      <c r="G111" s="1">
        <v>10</v>
      </c>
      <c r="H111" s="1">
        <v>3.4144999999999999</v>
      </c>
      <c r="J111" s="1">
        <v>3.4144999999999999</v>
      </c>
      <c r="K111" s="1">
        <v>7.1040000000000001</v>
      </c>
      <c r="L111" s="1">
        <v>3.782</v>
      </c>
      <c r="M111" s="1">
        <v>5.5564999999999998</v>
      </c>
      <c r="N111" s="1">
        <v>3.6179999999999901</v>
      </c>
      <c r="O111" s="1">
        <v>4.55</v>
      </c>
      <c r="Q111" s="1">
        <v>3.6179999999999901</v>
      </c>
      <c r="R111" s="1">
        <v>4.55</v>
      </c>
      <c r="S111" s="1">
        <v>7.8369999999999997</v>
      </c>
      <c r="T111" s="1">
        <v>4.0746666666666602</v>
      </c>
      <c r="U111" s="1">
        <v>0.51149999999999995</v>
      </c>
      <c r="V111" s="1">
        <v>2.3944999999999999</v>
      </c>
      <c r="W111" s="1">
        <v>4.2080000000000002</v>
      </c>
      <c r="Y111" s="1">
        <v>6.8254999999999999</v>
      </c>
      <c r="Z111" s="1">
        <v>2.2275</v>
      </c>
      <c r="AA111" s="1">
        <v>4.1980000000000004</v>
      </c>
      <c r="AB111" s="1">
        <v>4.8419999999999996</v>
      </c>
    </row>
    <row r="112" spans="1:28" ht="16" x14ac:dyDescent="0.2">
      <c r="A112" s="1">
        <v>74</v>
      </c>
      <c r="B112" s="1" t="s">
        <v>166</v>
      </c>
      <c r="C112" s="1" t="s">
        <v>164</v>
      </c>
      <c r="D112" s="1" t="s">
        <v>16</v>
      </c>
      <c r="F112" s="1">
        <v>9.75199999999999</v>
      </c>
      <c r="G112" s="1">
        <v>9.8689999999999998</v>
      </c>
      <c r="H112" s="1">
        <v>3.4144999999999999</v>
      </c>
      <c r="J112" s="1">
        <v>3.4144999999999999</v>
      </c>
      <c r="K112" s="1">
        <v>9.8285</v>
      </c>
      <c r="L112" s="1">
        <v>9.0990000000000002</v>
      </c>
      <c r="M112" s="1">
        <v>5.5564999999999998</v>
      </c>
      <c r="N112" s="1">
        <v>3.6179999999999901</v>
      </c>
      <c r="O112" s="1">
        <v>3.1159999999999899</v>
      </c>
      <c r="Q112" s="1">
        <v>3.6179999999999901</v>
      </c>
      <c r="R112" s="1">
        <v>3.1159999999999899</v>
      </c>
      <c r="S112" s="1">
        <v>6.4184999999999999</v>
      </c>
      <c r="T112" s="1">
        <v>3.7126666666666601</v>
      </c>
      <c r="U112" s="1">
        <v>0.51200000000000001</v>
      </c>
      <c r="V112" s="1">
        <v>2.2029999999999998</v>
      </c>
      <c r="W112" s="1">
        <v>5.6420000000000003</v>
      </c>
      <c r="Y112" s="1">
        <v>3.5880000000000001</v>
      </c>
      <c r="Z112" s="1">
        <v>5.6829999999999998</v>
      </c>
      <c r="AA112" s="1">
        <v>1.1785000000000001</v>
      </c>
      <c r="AB112" s="1">
        <v>3.71225</v>
      </c>
    </row>
    <row r="113" spans="1:28" ht="16" x14ac:dyDescent="0.2">
      <c r="A113" s="1">
        <v>110</v>
      </c>
      <c r="B113" s="1" t="s">
        <v>167</v>
      </c>
      <c r="C113" s="1" t="s">
        <v>164</v>
      </c>
      <c r="D113" s="1" t="s">
        <v>16</v>
      </c>
      <c r="F113" s="1">
        <v>10</v>
      </c>
      <c r="G113" s="1">
        <v>10</v>
      </c>
      <c r="H113" s="1">
        <v>3.4144999999999999</v>
      </c>
      <c r="J113" s="1">
        <v>3.4144999999999999</v>
      </c>
      <c r="K113" s="1">
        <v>8.7244999999999902</v>
      </c>
      <c r="L113" s="1">
        <v>3.585</v>
      </c>
      <c r="M113" s="1">
        <v>5.5564999999999998</v>
      </c>
      <c r="N113" s="1">
        <v>3.6179999999999901</v>
      </c>
      <c r="O113" s="1">
        <v>4.1324999999999896</v>
      </c>
      <c r="Q113" s="1">
        <v>3.6179999999999901</v>
      </c>
      <c r="R113" s="1">
        <v>4.1324999999999896</v>
      </c>
      <c r="S113" s="1">
        <v>8.1265000000000001</v>
      </c>
      <c r="T113" s="1">
        <v>3.95733333333333</v>
      </c>
      <c r="U113" s="1">
        <v>0</v>
      </c>
      <c r="V113" s="1">
        <v>2.8405</v>
      </c>
      <c r="W113" s="1">
        <v>3.8410000000000002</v>
      </c>
      <c r="Y113" s="1">
        <v>5.54</v>
      </c>
      <c r="Z113" s="1">
        <v>4.2709999999999999</v>
      </c>
      <c r="AA113" s="1">
        <v>3.2084999999999999</v>
      </c>
      <c r="AB113" s="1">
        <v>4.6319999999999997</v>
      </c>
    </row>
    <row r="114" spans="1:28" ht="16" x14ac:dyDescent="0.2">
      <c r="A114" s="1">
        <v>164</v>
      </c>
      <c r="B114" s="1" t="s">
        <v>168</v>
      </c>
      <c r="C114" s="1" t="s">
        <v>164</v>
      </c>
      <c r="D114" s="1" t="s">
        <v>16</v>
      </c>
      <c r="F114" s="1">
        <v>8.1240000000000006</v>
      </c>
      <c r="G114" s="1">
        <v>9.8249999999999993</v>
      </c>
      <c r="H114" s="1">
        <v>3.4144999999999999</v>
      </c>
      <c r="J114" s="1">
        <v>3.4144999999999999</v>
      </c>
      <c r="K114" s="1">
        <v>9.8529999999999998</v>
      </c>
      <c r="L114" s="1">
        <v>6.1790000000000003</v>
      </c>
      <c r="M114" s="1">
        <v>5.5564999999999998</v>
      </c>
      <c r="N114" s="1">
        <v>3.6179999999999901</v>
      </c>
      <c r="O114" s="1">
        <v>3.839</v>
      </c>
      <c r="Q114" s="1">
        <v>3.6179999999999901</v>
      </c>
      <c r="R114" s="1">
        <v>3.839</v>
      </c>
      <c r="S114" s="1">
        <v>7.6185</v>
      </c>
      <c r="T114" s="1">
        <v>3.8023333333333298</v>
      </c>
      <c r="U114" s="1">
        <v>0.52749999999999997</v>
      </c>
      <c r="V114" s="1">
        <v>2.0964999999999998</v>
      </c>
      <c r="W114" s="1">
        <v>5.4139999999999997</v>
      </c>
      <c r="Y114" s="1">
        <v>3.4289999999999998</v>
      </c>
      <c r="Z114" s="1">
        <v>4.9684999999999899</v>
      </c>
      <c r="AA114" s="1">
        <v>5.7919999999999998</v>
      </c>
      <c r="AB114" s="1">
        <v>3.94</v>
      </c>
    </row>
    <row r="115" spans="1:28" ht="16" x14ac:dyDescent="0.2">
      <c r="A115" s="1">
        <v>111</v>
      </c>
      <c r="B115" s="1" t="s">
        <v>169</v>
      </c>
      <c r="C115" s="1" t="s">
        <v>170</v>
      </c>
      <c r="D115" s="1" t="s">
        <v>6</v>
      </c>
      <c r="F115" s="1">
        <v>6.266</v>
      </c>
      <c r="G115" s="1">
        <v>5.4779999999999998</v>
      </c>
      <c r="H115" s="1">
        <v>4.0620000000000003</v>
      </c>
      <c r="J115" s="1">
        <v>4.0620000000000003</v>
      </c>
      <c r="K115" s="1">
        <v>5.5030000000000001</v>
      </c>
      <c r="L115" s="1">
        <v>3.96</v>
      </c>
      <c r="M115" s="1">
        <v>6.5145</v>
      </c>
      <c r="N115" s="1">
        <v>8.6709999999999994</v>
      </c>
      <c r="O115" s="1">
        <v>6.8699999999999903</v>
      </c>
      <c r="Q115" s="1">
        <v>8.6709999999999994</v>
      </c>
      <c r="R115" s="1">
        <v>6.8699999999999903</v>
      </c>
      <c r="S115" s="1">
        <v>3.968</v>
      </c>
      <c r="T115" s="1">
        <v>6.15133333333333</v>
      </c>
      <c r="U115" s="1">
        <v>3.6244999999999998</v>
      </c>
      <c r="V115" s="1">
        <v>6.1604999999999999</v>
      </c>
      <c r="W115" s="1">
        <v>1.6815</v>
      </c>
      <c r="Y115" s="1">
        <v>5.8754999999999997</v>
      </c>
      <c r="Z115" s="1">
        <v>7.2989999999999897</v>
      </c>
      <c r="AA115" s="1">
        <v>3.9649999999999999</v>
      </c>
      <c r="AB115" s="1">
        <v>4.8587499999999997</v>
      </c>
    </row>
    <row r="116" spans="1:28" ht="16" x14ac:dyDescent="0.2">
      <c r="A116" s="1">
        <v>15</v>
      </c>
      <c r="B116" s="1" t="s">
        <v>171</v>
      </c>
      <c r="C116" s="1" t="s">
        <v>172</v>
      </c>
      <c r="D116" s="1" t="s">
        <v>16</v>
      </c>
      <c r="F116" s="1">
        <v>5</v>
      </c>
      <c r="G116" s="1">
        <v>0</v>
      </c>
      <c r="H116" s="1">
        <v>6.266</v>
      </c>
      <c r="J116" s="1">
        <v>6.266</v>
      </c>
      <c r="K116" s="1">
        <v>1.6279999999999999</v>
      </c>
      <c r="L116" s="1">
        <v>0</v>
      </c>
      <c r="M116" s="1">
        <v>4.6574999999999998</v>
      </c>
      <c r="N116" s="1">
        <v>3.9123333333333301</v>
      </c>
      <c r="O116" s="1">
        <v>4.5589999999999904</v>
      </c>
      <c r="Q116" s="1">
        <v>3.9123333333333301</v>
      </c>
      <c r="R116" s="1">
        <v>4.5589999999999904</v>
      </c>
      <c r="S116" s="1">
        <v>8.7475000000000005</v>
      </c>
      <c r="T116" s="1">
        <v>4.4420000000000002</v>
      </c>
      <c r="U116" s="1">
        <v>0.52749999999999997</v>
      </c>
      <c r="V116" s="1">
        <v>4.1377499999999996</v>
      </c>
      <c r="W116" s="1">
        <v>1.9299999999999899</v>
      </c>
      <c r="Y116" s="1">
        <v>3.2374999999999998</v>
      </c>
      <c r="Z116" s="1">
        <v>6.3334999999999999</v>
      </c>
      <c r="AA116" s="1">
        <v>7.5004999999999997</v>
      </c>
      <c r="AB116" s="1">
        <v>5.1935000000000002</v>
      </c>
    </row>
    <row r="117" spans="1:28" ht="16" x14ac:dyDescent="0.2">
      <c r="A117" s="1">
        <v>115</v>
      </c>
      <c r="B117" s="1" t="s">
        <v>173</v>
      </c>
      <c r="C117" s="1" t="s">
        <v>172</v>
      </c>
      <c r="D117" s="1" t="s">
        <v>16</v>
      </c>
      <c r="F117" s="1">
        <v>8.6709999999999994</v>
      </c>
      <c r="G117" s="1">
        <v>8.4710000000000001</v>
      </c>
      <c r="H117" s="1">
        <v>6.266</v>
      </c>
      <c r="J117" s="1">
        <v>6.266</v>
      </c>
      <c r="K117" s="1">
        <v>5.6494999999999997</v>
      </c>
      <c r="L117" s="1">
        <v>6.4370000000000003</v>
      </c>
      <c r="M117" s="1">
        <v>4.6574999999999998</v>
      </c>
      <c r="N117" s="1">
        <v>4.02866666666666</v>
      </c>
      <c r="O117" s="1">
        <v>2.0665</v>
      </c>
      <c r="Q117" s="1">
        <v>4.02866666666666</v>
      </c>
      <c r="R117" s="1">
        <v>2.0665</v>
      </c>
      <c r="S117" s="1">
        <v>7.0004999999999997</v>
      </c>
      <c r="T117" s="1">
        <v>4.1839999999999904</v>
      </c>
      <c r="U117" s="1">
        <v>1.0274999999999901</v>
      </c>
      <c r="V117" s="1">
        <v>2.4857499999999999</v>
      </c>
      <c r="W117" s="1">
        <v>2.4885000000000002</v>
      </c>
      <c r="Y117" s="1">
        <v>4.4989999999999899</v>
      </c>
      <c r="Z117" s="1">
        <v>8.1460000000000008</v>
      </c>
      <c r="AA117" s="1">
        <v>7.202</v>
      </c>
      <c r="AB117" s="1">
        <v>3.64</v>
      </c>
    </row>
    <row r="118" spans="1:28" ht="16" x14ac:dyDescent="0.2">
      <c r="A118" s="1">
        <v>76</v>
      </c>
      <c r="B118" s="1" t="s">
        <v>174</v>
      </c>
      <c r="C118" s="1" t="s">
        <v>175</v>
      </c>
      <c r="D118" s="1" t="s">
        <v>6</v>
      </c>
      <c r="F118" s="1">
        <v>6.8509999999999902</v>
      </c>
      <c r="G118" s="1">
        <v>6.327</v>
      </c>
      <c r="H118" s="1">
        <v>4.3460000000000001</v>
      </c>
      <c r="J118" s="1">
        <v>4.3460000000000001</v>
      </c>
      <c r="K118" s="1">
        <v>2.9119999999999999</v>
      </c>
      <c r="L118" s="1">
        <v>1.8179999999999901</v>
      </c>
      <c r="M118" s="1">
        <v>6.5145</v>
      </c>
      <c r="N118" s="1">
        <v>8.6709999999999994</v>
      </c>
      <c r="O118" s="1">
        <v>8.4764999999999997</v>
      </c>
      <c r="Q118" s="1">
        <v>8.6709999999999994</v>
      </c>
      <c r="R118" s="1">
        <v>8.4764999999999997</v>
      </c>
      <c r="S118" s="1">
        <v>6.984</v>
      </c>
      <c r="T118" s="1">
        <v>6.7089999999999996</v>
      </c>
      <c r="U118" s="1">
        <v>3.6244999999999998</v>
      </c>
      <c r="V118" s="1">
        <v>8.6822499999999998</v>
      </c>
      <c r="W118" s="1">
        <v>1.379</v>
      </c>
      <c r="Y118" s="1">
        <v>5.6979999999999897</v>
      </c>
      <c r="Z118" s="1">
        <v>6.0664999999999996</v>
      </c>
      <c r="AA118" s="1">
        <v>3.2995000000000001</v>
      </c>
      <c r="AB118" s="1">
        <v>2.0722499999999999</v>
      </c>
    </row>
    <row r="119" spans="1:28" ht="16" x14ac:dyDescent="0.2">
      <c r="A119" s="1">
        <v>240</v>
      </c>
      <c r="B119" s="1" t="s">
        <v>176</v>
      </c>
      <c r="C119" s="1" t="s">
        <v>177</v>
      </c>
      <c r="D119" s="1" t="s">
        <v>16</v>
      </c>
      <c r="F119" s="1">
        <v>8.3029999999999902</v>
      </c>
      <c r="G119" s="1">
        <v>9.5440000000000005</v>
      </c>
      <c r="H119" s="1">
        <v>4.0525000000000002</v>
      </c>
      <c r="J119" s="1">
        <v>4.0525000000000002</v>
      </c>
      <c r="K119" s="1">
        <v>4.3864999999999998</v>
      </c>
      <c r="L119" s="1">
        <v>0</v>
      </c>
      <c r="M119" s="1">
        <v>3.9434999999999998</v>
      </c>
      <c r="N119" s="1">
        <v>4.34266666666666</v>
      </c>
      <c r="O119" s="1">
        <v>4.2225000000000001</v>
      </c>
      <c r="Q119" s="1">
        <v>4.34266666666666</v>
      </c>
      <c r="R119" s="1">
        <v>4.2225000000000001</v>
      </c>
      <c r="S119" s="1">
        <v>6.7929999999999904</v>
      </c>
      <c r="T119" s="1">
        <v>5.3123333333333296</v>
      </c>
      <c r="U119" s="1">
        <v>0.51</v>
      </c>
      <c r="V119" s="1">
        <v>2.9424999999999999</v>
      </c>
      <c r="W119" s="1">
        <v>3.1749999999999998</v>
      </c>
      <c r="Y119" s="1">
        <v>1.5759999999999901</v>
      </c>
      <c r="Z119" s="1">
        <v>6.5209999999999999</v>
      </c>
      <c r="AA119" s="1">
        <v>5.4999999999999902</v>
      </c>
      <c r="AB119" s="1">
        <v>3.7995000000000001</v>
      </c>
    </row>
    <row r="120" spans="1:28" ht="16" x14ac:dyDescent="0.2">
      <c r="A120" s="1">
        <v>70</v>
      </c>
      <c r="B120" s="1" t="s">
        <v>178</v>
      </c>
      <c r="C120" s="1" t="s">
        <v>179</v>
      </c>
      <c r="D120" s="1" t="s">
        <v>26</v>
      </c>
      <c r="F120" s="1">
        <v>5.5145</v>
      </c>
      <c r="G120" s="1">
        <v>4.9020000000000001</v>
      </c>
      <c r="H120" s="1">
        <v>6.2549999999999901</v>
      </c>
      <c r="J120" s="1">
        <v>6.2549999999999901</v>
      </c>
      <c r="K120" s="1">
        <v>3.9874999999999998</v>
      </c>
      <c r="L120" s="1">
        <v>2.8699999999999899</v>
      </c>
      <c r="M120" s="1">
        <v>7.5145</v>
      </c>
      <c r="N120" s="1">
        <v>8.3456666666666592</v>
      </c>
      <c r="O120" s="1">
        <v>8.6304999999999996</v>
      </c>
      <c r="Q120" s="1">
        <v>8.3456666666666592</v>
      </c>
      <c r="R120" s="1">
        <v>8.6304999999999996</v>
      </c>
      <c r="S120" s="1">
        <v>8.8394999999999992</v>
      </c>
      <c r="T120" s="1">
        <v>7.4263333333333303</v>
      </c>
      <c r="U120" s="1">
        <v>4.8789999999999996</v>
      </c>
      <c r="V120" s="1">
        <v>8.0127500000000005</v>
      </c>
      <c r="W120" s="1">
        <v>2.3614999999999999</v>
      </c>
      <c r="Y120" s="1">
        <v>9.1439999999999895</v>
      </c>
      <c r="Z120" s="1">
        <v>2.5314999999999999</v>
      </c>
      <c r="AA120" s="1">
        <v>0.5</v>
      </c>
      <c r="AB120" s="1">
        <v>5.5042499999999999</v>
      </c>
    </row>
    <row r="121" spans="1:28" ht="16" x14ac:dyDescent="0.2">
      <c r="A121" s="1">
        <v>81</v>
      </c>
      <c r="B121" s="1" t="s">
        <v>180</v>
      </c>
      <c r="C121" s="1" t="s">
        <v>179</v>
      </c>
      <c r="D121" s="1" t="s">
        <v>26</v>
      </c>
      <c r="F121" s="1">
        <v>2.51249999999999</v>
      </c>
      <c r="G121" s="1">
        <v>4.0049999999999999</v>
      </c>
      <c r="H121" s="1">
        <v>6.2549999999999901</v>
      </c>
      <c r="J121" s="1">
        <v>6.2549999999999901</v>
      </c>
      <c r="K121" s="1">
        <v>5.6509999999999998</v>
      </c>
      <c r="L121" s="1">
        <v>6.2039999999999997</v>
      </c>
      <c r="M121" s="1">
        <v>7.5145</v>
      </c>
      <c r="N121" s="1">
        <v>8.3456666666666592</v>
      </c>
      <c r="O121" s="1">
        <v>7.3280000000000003</v>
      </c>
      <c r="Q121" s="1">
        <v>8.3456666666666592</v>
      </c>
      <c r="R121" s="1">
        <v>7.3280000000000003</v>
      </c>
      <c r="S121" s="1">
        <v>7.1214999999999904</v>
      </c>
      <c r="T121" s="1">
        <v>6.8103333333333298</v>
      </c>
      <c r="U121" s="1">
        <v>5.6064999999999996</v>
      </c>
      <c r="V121" s="1">
        <v>6.5015000000000001</v>
      </c>
      <c r="W121" s="1">
        <v>4.7614999999999998</v>
      </c>
      <c r="Y121" s="1">
        <v>8.3435000000000006</v>
      </c>
      <c r="Z121" s="1">
        <v>7.1345000000000001</v>
      </c>
      <c r="AA121" s="1">
        <v>5.6639999999999997</v>
      </c>
      <c r="AB121" s="1">
        <v>5.44625</v>
      </c>
    </row>
    <row r="122" spans="1:28" ht="16" x14ac:dyDescent="0.2">
      <c r="A122" s="1">
        <v>92</v>
      </c>
      <c r="B122" s="1" t="s">
        <v>181</v>
      </c>
      <c r="C122" s="1" t="s">
        <v>179</v>
      </c>
      <c r="D122" s="1" t="s">
        <v>26</v>
      </c>
      <c r="F122" s="1">
        <v>6.2755000000000001</v>
      </c>
      <c r="G122" s="1">
        <v>4.9269999999999996</v>
      </c>
      <c r="H122" s="1">
        <v>6.2549999999999901</v>
      </c>
      <c r="J122" s="1">
        <v>6.2549999999999901</v>
      </c>
      <c r="K122" s="1">
        <v>2.5379999999999998</v>
      </c>
      <c r="L122" s="1">
        <v>2.556</v>
      </c>
      <c r="M122" s="1">
        <v>7.5145</v>
      </c>
      <c r="N122" s="1">
        <v>8.3456666666666592</v>
      </c>
      <c r="O122" s="1">
        <v>8.7004999999999892</v>
      </c>
      <c r="Q122" s="1">
        <v>8.3456666666666592</v>
      </c>
      <c r="R122" s="1">
        <v>8.7004999999999892</v>
      </c>
      <c r="S122" s="1">
        <v>8.89</v>
      </c>
      <c r="T122" s="1">
        <v>7.0699999999999896</v>
      </c>
      <c r="U122" s="1">
        <v>5.0075000000000003</v>
      </c>
      <c r="V122" s="1">
        <v>7.5187499999999998</v>
      </c>
      <c r="W122" s="1">
        <v>2.3614999999999999</v>
      </c>
      <c r="Y122" s="1">
        <v>7.6374999999999904</v>
      </c>
      <c r="Z122" s="1">
        <v>1.115</v>
      </c>
      <c r="AA122" s="1">
        <v>3.7124999999999901</v>
      </c>
      <c r="AB122" s="1">
        <v>5.6897500000000001</v>
      </c>
    </row>
    <row r="123" spans="1:28" ht="16" x14ac:dyDescent="0.2">
      <c r="A123" s="1">
        <v>241</v>
      </c>
      <c r="B123" s="1" t="s">
        <v>182</v>
      </c>
      <c r="C123" s="1" t="s">
        <v>183</v>
      </c>
      <c r="D123" s="1" t="s">
        <v>16</v>
      </c>
      <c r="F123" s="1">
        <v>4.91</v>
      </c>
      <c r="G123" s="1">
        <v>4.37</v>
      </c>
      <c r="H123" s="1">
        <v>6.9175000000000004</v>
      </c>
      <c r="J123" s="1">
        <v>6.9175000000000004</v>
      </c>
      <c r="K123" s="1">
        <v>7.3265000000000002</v>
      </c>
      <c r="L123" s="1">
        <v>9.16</v>
      </c>
      <c r="M123" s="1">
        <v>5.0265000000000004</v>
      </c>
      <c r="N123" s="1">
        <v>6.7899999999999903</v>
      </c>
      <c r="O123" s="1">
        <v>5.516</v>
      </c>
      <c r="Q123" s="1">
        <v>6.7899999999999903</v>
      </c>
      <c r="R123" s="1">
        <v>5.516</v>
      </c>
      <c r="S123" s="1">
        <v>8.0065000000000008</v>
      </c>
      <c r="T123" s="1">
        <v>8.3379999999999992</v>
      </c>
      <c r="U123" s="1">
        <v>3.7665000000000002</v>
      </c>
      <c r="V123" s="1">
        <v>6.0267499999999998</v>
      </c>
      <c r="W123" s="1">
        <v>3.3450000000000002</v>
      </c>
      <c r="Y123" s="1">
        <v>2.5659999999999998</v>
      </c>
      <c r="Z123" s="1">
        <v>5.3334999999999999</v>
      </c>
      <c r="AA123" s="1">
        <v>5.4124999999999996</v>
      </c>
      <c r="AB123" s="1">
        <v>4.9942499999999903</v>
      </c>
    </row>
    <row r="124" spans="1:28" ht="16" x14ac:dyDescent="0.2">
      <c r="A124" s="1">
        <v>33</v>
      </c>
      <c r="B124" s="1" t="s">
        <v>184</v>
      </c>
      <c r="C124" s="1" t="s">
        <v>185</v>
      </c>
      <c r="D124" s="1" t="s">
        <v>26</v>
      </c>
      <c r="F124" s="1">
        <v>7.4719999999999898</v>
      </c>
      <c r="G124" s="1">
        <v>5.1890000000000001</v>
      </c>
      <c r="H124" s="1">
        <v>2.4365000000000001</v>
      </c>
      <c r="J124" s="1">
        <v>2.4365000000000001</v>
      </c>
      <c r="K124" s="1">
        <v>3.1484999999999999</v>
      </c>
      <c r="L124" s="1">
        <v>1.39699999999999</v>
      </c>
      <c r="M124" s="1">
        <v>3.3624999999999998</v>
      </c>
      <c r="N124" s="1">
        <v>6.1896666666666604</v>
      </c>
      <c r="O124" s="1">
        <v>7.6180000000000003</v>
      </c>
      <c r="Q124" s="1">
        <v>6.1896666666666604</v>
      </c>
      <c r="R124" s="1">
        <v>7.6180000000000003</v>
      </c>
      <c r="S124" s="1">
        <v>7.3369999999999997</v>
      </c>
      <c r="T124" s="1">
        <v>8.5776666666666603</v>
      </c>
      <c r="U124" s="1">
        <v>4.2024999999999997</v>
      </c>
      <c r="V124" s="1">
        <v>5.4602500000000003</v>
      </c>
      <c r="W124" s="1">
        <v>3.6819999999999999</v>
      </c>
      <c r="Y124" s="1">
        <v>7.7104999999999997</v>
      </c>
      <c r="Z124" s="1">
        <v>5.7359999999999998</v>
      </c>
      <c r="AA124" s="1">
        <v>1.5814999999999999</v>
      </c>
      <c r="AB124" s="1">
        <v>5.53</v>
      </c>
    </row>
    <row r="125" spans="1:28" ht="16" x14ac:dyDescent="0.2">
      <c r="A125" s="1">
        <v>87</v>
      </c>
      <c r="B125" s="1" t="s">
        <v>186</v>
      </c>
      <c r="C125" s="1" t="s">
        <v>185</v>
      </c>
      <c r="D125" s="1" t="s">
        <v>26</v>
      </c>
      <c r="F125" s="1">
        <v>6.7750000000000004</v>
      </c>
      <c r="G125" s="1">
        <v>4.649</v>
      </c>
      <c r="H125" s="1">
        <v>2.4365000000000001</v>
      </c>
      <c r="J125" s="1">
        <v>2.4365000000000001</v>
      </c>
      <c r="K125" s="1">
        <v>2.2274999999999898</v>
      </c>
      <c r="L125" s="1">
        <v>0</v>
      </c>
      <c r="M125" s="1">
        <v>3.3624999999999998</v>
      </c>
      <c r="N125" s="1">
        <v>6.1896666666666604</v>
      </c>
      <c r="O125" s="1">
        <v>6.7355</v>
      </c>
      <c r="Q125" s="1">
        <v>6.1896666666666604</v>
      </c>
      <c r="R125" s="1">
        <v>6.7355</v>
      </c>
      <c r="S125" s="1">
        <v>7.9725000000000001</v>
      </c>
      <c r="T125" s="1">
        <v>8.1636666666666606</v>
      </c>
      <c r="U125" s="1">
        <v>4.0579999999999998</v>
      </c>
      <c r="V125" s="1">
        <v>6.0090000000000003</v>
      </c>
      <c r="W125" s="1">
        <v>4.306</v>
      </c>
      <c r="Y125" s="1">
        <v>4.4414999999999996</v>
      </c>
      <c r="Z125" s="1">
        <v>8.5034999999999901</v>
      </c>
      <c r="AA125" s="1">
        <v>1.6769999999999901</v>
      </c>
      <c r="AB125" s="1">
        <v>6.0287499999999996</v>
      </c>
    </row>
    <row r="126" spans="1:28" ht="16" x14ac:dyDescent="0.2">
      <c r="A126" s="1">
        <v>157</v>
      </c>
      <c r="B126" s="1" t="s">
        <v>187</v>
      </c>
      <c r="C126" s="1" t="s">
        <v>185</v>
      </c>
      <c r="D126" s="1" t="s">
        <v>26</v>
      </c>
      <c r="F126" s="1">
        <v>5.1944999999999997</v>
      </c>
      <c r="G126" s="1">
        <v>4.8010000000000002</v>
      </c>
      <c r="H126" s="1">
        <v>2.4365000000000001</v>
      </c>
      <c r="J126" s="1">
        <v>2.4365000000000001</v>
      </c>
      <c r="K126" s="1">
        <v>5.1904999999999903</v>
      </c>
      <c r="L126" s="1">
        <v>3.286</v>
      </c>
      <c r="M126" s="1">
        <v>3.3624999999999998</v>
      </c>
      <c r="N126" s="1">
        <v>6.1896666666666604</v>
      </c>
      <c r="O126" s="1">
        <v>7.2195</v>
      </c>
      <c r="Q126" s="1">
        <v>6.1896666666666604</v>
      </c>
      <c r="R126" s="1">
        <v>7.2195</v>
      </c>
      <c r="S126" s="1">
        <v>7.3780000000000001</v>
      </c>
      <c r="T126" s="1">
        <v>8.4446666666666594</v>
      </c>
      <c r="U126" s="1">
        <v>4.2830000000000004</v>
      </c>
      <c r="V126" s="1">
        <v>4.4580000000000002</v>
      </c>
      <c r="W126" s="1">
        <v>6.6829999999999998</v>
      </c>
      <c r="Y126" s="1">
        <v>5.0139999999999896</v>
      </c>
      <c r="Z126" s="1">
        <v>7.9169999999999998</v>
      </c>
      <c r="AA126" s="1">
        <v>5.641</v>
      </c>
      <c r="AB126" s="1">
        <v>5.5119999999999996</v>
      </c>
    </row>
    <row r="127" spans="1:28" ht="16" x14ac:dyDescent="0.2">
      <c r="A127" s="1">
        <v>168</v>
      </c>
      <c r="B127" s="1" t="s">
        <v>188</v>
      </c>
      <c r="C127" s="1" t="s">
        <v>185</v>
      </c>
      <c r="D127" s="1" t="s">
        <v>26</v>
      </c>
      <c r="F127" s="1">
        <v>8.2149999999999999</v>
      </c>
      <c r="G127" s="1">
        <v>5.81</v>
      </c>
      <c r="H127" s="1">
        <v>2.4365000000000001</v>
      </c>
      <c r="J127" s="1">
        <v>2.4365000000000001</v>
      </c>
      <c r="K127" s="1">
        <v>2.0405000000000002</v>
      </c>
      <c r="L127" s="1">
        <v>0</v>
      </c>
      <c r="M127" s="1">
        <v>3.3624999999999998</v>
      </c>
      <c r="N127" s="1">
        <v>6.1896666666666604</v>
      </c>
      <c r="O127" s="1">
        <v>6.7534999999999998</v>
      </c>
      <c r="Q127" s="1">
        <v>6.1896666666666604</v>
      </c>
      <c r="R127" s="1">
        <v>6.7534999999999998</v>
      </c>
      <c r="S127" s="1">
        <v>6.3895</v>
      </c>
      <c r="T127" s="1">
        <v>7.1863333333333301</v>
      </c>
      <c r="U127" s="1">
        <v>4.0579999999999998</v>
      </c>
      <c r="V127" s="1">
        <v>1.65625</v>
      </c>
      <c r="W127" s="1">
        <v>3.9409999999999998</v>
      </c>
      <c r="Y127" s="1">
        <v>5.3140000000000001</v>
      </c>
      <c r="Z127" s="1">
        <v>6.0449999999999999</v>
      </c>
      <c r="AA127" s="1">
        <v>5.359</v>
      </c>
      <c r="AB127" s="1">
        <v>4.7057500000000001</v>
      </c>
    </row>
    <row r="128" spans="1:28" ht="16" x14ac:dyDescent="0.2">
      <c r="A128" s="1">
        <v>206</v>
      </c>
      <c r="B128" s="1" t="s">
        <v>189</v>
      </c>
      <c r="C128" s="1" t="s">
        <v>185</v>
      </c>
      <c r="D128" s="1" t="s">
        <v>26</v>
      </c>
      <c r="F128" s="1">
        <v>5.6025</v>
      </c>
      <c r="G128" s="1">
        <v>5.3230000000000004</v>
      </c>
      <c r="H128" s="1">
        <v>2.4365000000000001</v>
      </c>
      <c r="J128" s="1">
        <v>2.4365000000000001</v>
      </c>
      <c r="K128" s="1">
        <v>4.6745000000000001</v>
      </c>
      <c r="L128" s="1">
        <v>1.0129999999999999</v>
      </c>
      <c r="M128" s="1">
        <v>3.3624999999999998</v>
      </c>
      <c r="N128" s="1">
        <v>6.1896666666666604</v>
      </c>
      <c r="O128" s="1">
        <v>6.2214999999999998</v>
      </c>
      <c r="Q128" s="1">
        <v>6.1896666666666604</v>
      </c>
      <c r="R128" s="1">
        <v>6.2214999999999998</v>
      </c>
      <c r="S128" s="1">
        <v>6.6044999999999998</v>
      </c>
      <c r="T128" s="1">
        <v>7.8636666666666599</v>
      </c>
      <c r="U128" s="1">
        <v>4.157</v>
      </c>
      <c r="V128" s="1">
        <v>4.2764999999999898</v>
      </c>
      <c r="W128" s="1">
        <v>6.4335000000000004</v>
      </c>
      <c r="Y128" s="1">
        <v>4.4909999999999997</v>
      </c>
      <c r="Z128" s="1">
        <v>9.11</v>
      </c>
      <c r="AA128" s="1">
        <v>6.3959999999999999</v>
      </c>
      <c r="AB128" s="1">
        <v>4.5332499999999998</v>
      </c>
    </row>
    <row r="129" spans="1:28" ht="16" x14ac:dyDescent="0.2">
      <c r="A129" s="1">
        <v>248</v>
      </c>
      <c r="B129" s="1" t="s">
        <v>190</v>
      </c>
      <c r="C129" s="1" t="s">
        <v>185</v>
      </c>
      <c r="D129" s="1" t="s">
        <v>26</v>
      </c>
      <c r="F129" s="1">
        <v>8.0694999999999997</v>
      </c>
      <c r="G129" s="1">
        <v>5.6120000000000001</v>
      </c>
      <c r="H129" s="1">
        <v>2.4365000000000001</v>
      </c>
      <c r="J129" s="1">
        <v>2.4365000000000001</v>
      </c>
      <c r="K129" s="1">
        <v>3.25</v>
      </c>
      <c r="L129" s="1">
        <v>0</v>
      </c>
      <c r="M129" s="1">
        <v>3.3624999999999998</v>
      </c>
      <c r="N129" s="1">
        <v>6.1896666666666604</v>
      </c>
      <c r="O129" s="1">
        <v>5.7770000000000001</v>
      </c>
      <c r="Q129" s="1">
        <v>6.1896666666666604</v>
      </c>
      <c r="R129" s="1">
        <v>5.7770000000000001</v>
      </c>
      <c r="S129" s="1">
        <v>6.2519999999999998</v>
      </c>
      <c r="T129" s="1">
        <v>8.3676666666666595</v>
      </c>
      <c r="U129" s="1">
        <v>4.1014999999999997</v>
      </c>
      <c r="V129" s="1">
        <v>3.8855</v>
      </c>
      <c r="W129" s="1">
        <v>3.1495000000000002</v>
      </c>
      <c r="Y129" s="1">
        <v>2.36899999999999</v>
      </c>
      <c r="Z129" s="1">
        <v>7.0609999999999999</v>
      </c>
      <c r="AA129" s="1">
        <v>5.7050000000000001</v>
      </c>
      <c r="AB129" s="1">
        <v>5.6092500000000003</v>
      </c>
    </row>
    <row r="130" spans="1:28" ht="16" x14ac:dyDescent="0.2">
      <c r="A130" s="1">
        <v>121</v>
      </c>
      <c r="B130" s="1" t="s">
        <v>191</v>
      </c>
      <c r="C130" s="1" t="s">
        <v>192</v>
      </c>
      <c r="D130" s="1" t="s">
        <v>6</v>
      </c>
      <c r="F130" s="1">
        <v>8.8955000000000002</v>
      </c>
      <c r="G130" s="1">
        <v>5.9370000000000003</v>
      </c>
      <c r="H130" s="1">
        <v>6.0734999999999904</v>
      </c>
      <c r="J130" s="1">
        <v>6.0734999999999904</v>
      </c>
      <c r="K130" s="1">
        <v>2.6480000000000001</v>
      </c>
      <c r="L130" s="1">
        <v>0</v>
      </c>
      <c r="M130" s="1">
        <v>1.8294999999999999</v>
      </c>
      <c r="N130" s="1">
        <v>6.5676666666666597</v>
      </c>
      <c r="O130" s="1">
        <v>2.8434999999999899</v>
      </c>
      <c r="Q130" s="1">
        <v>6.5676666666666597</v>
      </c>
      <c r="R130" s="1">
        <v>2.8434999999999899</v>
      </c>
      <c r="S130" s="1">
        <v>5.5274999999999999</v>
      </c>
      <c r="T130" s="1">
        <v>6.6779999999999902</v>
      </c>
      <c r="U130" s="1">
        <v>0</v>
      </c>
      <c r="V130" s="1">
        <v>3.0202499999999999</v>
      </c>
      <c r="W130" s="1">
        <v>0.8145</v>
      </c>
      <c r="Y130" s="1">
        <v>4.4834999999999896</v>
      </c>
      <c r="Z130" s="1">
        <v>4.2779999999999996</v>
      </c>
      <c r="AA130" s="1">
        <v>3.3460000000000001</v>
      </c>
      <c r="AB130" s="1">
        <v>4.9267500000000002</v>
      </c>
    </row>
    <row r="131" spans="1:28" ht="16" x14ac:dyDescent="0.2">
      <c r="A131" s="1">
        <v>91</v>
      </c>
      <c r="B131" s="1" t="s">
        <v>193</v>
      </c>
      <c r="C131" s="1" t="s">
        <v>194</v>
      </c>
      <c r="D131" s="1" t="s">
        <v>16</v>
      </c>
      <c r="F131" s="1">
        <v>4.01</v>
      </c>
      <c r="G131" s="1">
        <v>0</v>
      </c>
      <c r="H131" s="1">
        <v>6.0329999999999897</v>
      </c>
      <c r="J131" s="1">
        <v>6.0329999999999897</v>
      </c>
      <c r="K131" s="1">
        <v>1.484</v>
      </c>
      <c r="L131" s="1">
        <v>1.79</v>
      </c>
      <c r="M131" s="1">
        <v>3.7235</v>
      </c>
      <c r="N131" s="1">
        <v>8.3896666666666597</v>
      </c>
      <c r="O131" s="1">
        <v>7.2590000000000003</v>
      </c>
      <c r="Q131" s="1">
        <v>8.3896666666666597</v>
      </c>
      <c r="R131" s="1">
        <v>7.2590000000000003</v>
      </c>
      <c r="S131" s="1">
        <v>9.9450000000000003</v>
      </c>
      <c r="T131" s="1">
        <v>9.0979999999999901</v>
      </c>
      <c r="U131" s="1">
        <v>5.5274999999999999</v>
      </c>
      <c r="V131" s="1">
        <v>7.9159999999999897</v>
      </c>
      <c r="W131" s="1">
        <v>6.1724999999999897</v>
      </c>
      <c r="Y131" s="1">
        <v>4.5750000000000002</v>
      </c>
      <c r="Z131" s="1">
        <v>5.8605</v>
      </c>
      <c r="AA131" s="1">
        <v>5.6814999999999998</v>
      </c>
      <c r="AB131" s="1">
        <v>0</v>
      </c>
    </row>
    <row r="132" spans="1:28" ht="16" x14ac:dyDescent="0.2">
      <c r="A132" s="1">
        <v>125</v>
      </c>
      <c r="B132" s="1" t="s">
        <v>195</v>
      </c>
      <c r="C132" s="1" t="s">
        <v>194</v>
      </c>
      <c r="D132" s="1" t="s">
        <v>16</v>
      </c>
      <c r="F132" s="1">
        <v>3.7650000000000001</v>
      </c>
      <c r="G132" s="1">
        <v>0</v>
      </c>
      <c r="H132" s="1">
        <v>6.0329999999999897</v>
      </c>
      <c r="J132" s="1">
        <v>6.0329999999999897</v>
      </c>
      <c r="K132" s="1">
        <v>1.3025</v>
      </c>
      <c r="L132" s="1">
        <v>0</v>
      </c>
      <c r="M132" s="1">
        <v>3.7235</v>
      </c>
      <c r="N132" s="1">
        <v>8.3896666666666597</v>
      </c>
      <c r="O132" s="1">
        <v>7.6630000000000003</v>
      </c>
      <c r="Q132" s="1">
        <v>8.3896666666666597</v>
      </c>
      <c r="R132" s="1">
        <v>7.6630000000000003</v>
      </c>
      <c r="S132" s="1">
        <v>10</v>
      </c>
      <c r="T132" s="1">
        <v>9.0786666666666598</v>
      </c>
      <c r="U132" s="1">
        <v>6.2409999999999997</v>
      </c>
      <c r="V132" s="1">
        <v>6.4349999999999996</v>
      </c>
      <c r="W132" s="1">
        <v>6.7945000000000002</v>
      </c>
      <c r="Y132" s="1">
        <v>3.71199999999999</v>
      </c>
      <c r="Z132" s="1">
        <v>8.1534999999999993</v>
      </c>
      <c r="AA132" s="1">
        <v>1.6465000000000001</v>
      </c>
      <c r="AB132" s="1">
        <v>2.5</v>
      </c>
    </row>
    <row r="133" spans="1:28" ht="16" x14ac:dyDescent="0.2">
      <c r="A133" s="1">
        <v>177</v>
      </c>
      <c r="B133" s="1" t="s">
        <v>196</v>
      </c>
      <c r="C133" s="1" t="s">
        <v>194</v>
      </c>
      <c r="D133" s="1" t="s">
        <v>16</v>
      </c>
      <c r="F133" s="1">
        <v>7.8315000000000001</v>
      </c>
      <c r="G133" s="1">
        <v>4.819</v>
      </c>
      <c r="H133" s="1">
        <v>6.0329999999999897</v>
      </c>
      <c r="J133" s="1">
        <v>6.0329999999999897</v>
      </c>
      <c r="K133" s="1">
        <v>2.6680000000000001</v>
      </c>
      <c r="L133" s="1">
        <v>2.1440000000000001</v>
      </c>
      <c r="M133" s="1">
        <v>3.7235</v>
      </c>
      <c r="N133" s="1">
        <v>8.4176666666666602</v>
      </c>
      <c r="O133" s="1">
        <v>7.1894999999999998</v>
      </c>
      <c r="Q133" s="1">
        <v>8.4176666666666602</v>
      </c>
      <c r="R133" s="1">
        <v>7.1894999999999998</v>
      </c>
      <c r="S133" s="1">
        <v>10</v>
      </c>
      <c r="T133" s="1">
        <v>8.7053333333333303</v>
      </c>
      <c r="U133" s="1">
        <v>5.5894999999999904</v>
      </c>
      <c r="V133" s="1">
        <v>5.3267499999999997</v>
      </c>
      <c r="W133" s="1">
        <v>6.2014999999999896</v>
      </c>
      <c r="Y133" s="1">
        <v>3.7240000000000002</v>
      </c>
      <c r="Z133" s="1">
        <v>7.2264999999999997</v>
      </c>
      <c r="AA133" s="1">
        <v>5.1875</v>
      </c>
      <c r="AB133" s="1">
        <v>5.2549999999999999</v>
      </c>
    </row>
    <row r="134" spans="1:28" ht="16" x14ac:dyDescent="0.2">
      <c r="A134" s="1">
        <v>244</v>
      </c>
      <c r="B134" s="1" t="s">
        <v>197</v>
      </c>
      <c r="C134" s="1" t="s">
        <v>194</v>
      </c>
      <c r="D134" s="1" t="s">
        <v>16</v>
      </c>
      <c r="F134" s="1">
        <v>5.657</v>
      </c>
      <c r="G134" s="1">
        <v>3.431</v>
      </c>
      <c r="H134" s="1">
        <v>6.0329999999999897</v>
      </c>
      <c r="J134" s="1">
        <v>6.0329999999999897</v>
      </c>
      <c r="K134" s="1">
        <v>6.2969999999999997</v>
      </c>
      <c r="L134" s="1">
        <v>3.9629999999999899</v>
      </c>
      <c r="M134" s="1">
        <v>3.7235</v>
      </c>
      <c r="N134" s="1">
        <v>8.3776666666666593</v>
      </c>
      <c r="O134" s="1">
        <v>7.1944999999999997</v>
      </c>
      <c r="Q134" s="1">
        <v>8.3776666666666593</v>
      </c>
      <c r="R134" s="1">
        <v>7.1944999999999997</v>
      </c>
      <c r="S134" s="1">
        <v>10</v>
      </c>
      <c r="T134" s="1">
        <v>8.8263333333333307</v>
      </c>
      <c r="U134" s="1">
        <v>6.9805000000000001</v>
      </c>
      <c r="V134" s="1">
        <v>5.9557500000000001</v>
      </c>
      <c r="W134" s="1">
        <v>8.1515000000000004</v>
      </c>
      <c r="Y134" s="1">
        <v>4.835</v>
      </c>
      <c r="Z134" s="1">
        <v>9.3420000000000005</v>
      </c>
      <c r="AA134" s="1">
        <v>6.5225</v>
      </c>
      <c r="AB134" s="1">
        <v>6.0075000000000003</v>
      </c>
    </row>
    <row r="135" spans="1:28" ht="16" x14ac:dyDescent="0.2">
      <c r="A135" s="1">
        <v>3</v>
      </c>
      <c r="B135" s="1" t="s">
        <v>198</v>
      </c>
      <c r="C135" s="1" t="s">
        <v>199</v>
      </c>
      <c r="D135" s="1" t="s">
        <v>16</v>
      </c>
      <c r="F135" s="1">
        <v>9.282</v>
      </c>
      <c r="G135" s="1">
        <v>9.3330000000000002</v>
      </c>
      <c r="H135" s="1">
        <v>8.5220000000000002</v>
      </c>
      <c r="J135" s="1">
        <v>8.5220000000000002</v>
      </c>
      <c r="K135" s="1">
        <v>2.4584999999999999</v>
      </c>
      <c r="L135" s="1">
        <v>0</v>
      </c>
      <c r="M135" s="1">
        <v>5.2690000000000001</v>
      </c>
      <c r="N135" s="1">
        <v>5.5679999999999996</v>
      </c>
      <c r="O135" s="1">
        <v>6.5395000000000003</v>
      </c>
      <c r="Q135" s="1">
        <v>5.5679999999999996</v>
      </c>
      <c r="R135" s="1">
        <v>6.5395000000000003</v>
      </c>
      <c r="S135" s="1">
        <v>7.3090000000000002</v>
      </c>
      <c r="T135" s="1">
        <v>4.5456666666666603</v>
      </c>
      <c r="U135" s="1">
        <v>2.2829999999999999</v>
      </c>
      <c r="V135" s="1">
        <v>3.8567499999999999</v>
      </c>
      <c r="W135" s="1">
        <v>4.5919999999999996</v>
      </c>
      <c r="Y135" s="1">
        <v>2.8860000000000001</v>
      </c>
      <c r="Z135" s="1">
        <v>2.9369999999999998</v>
      </c>
      <c r="AA135" s="1">
        <v>5.4999999999999902</v>
      </c>
      <c r="AB135" s="1">
        <v>5.8712499999999901</v>
      </c>
    </row>
    <row r="136" spans="1:28" ht="16" x14ac:dyDescent="0.2">
      <c r="A136" s="1">
        <v>140</v>
      </c>
      <c r="B136" s="1" t="s">
        <v>200</v>
      </c>
      <c r="C136" s="1" t="s">
        <v>201</v>
      </c>
      <c r="D136" s="1" t="s">
        <v>6</v>
      </c>
      <c r="F136" s="1">
        <v>7.258</v>
      </c>
      <c r="G136" s="1">
        <v>6.3579999999999997</v>
      </c>
      <c r="H136" s="1">
        <v>4.0620000000000003</v>
      </c>
      <c r="J136" s="1">
        <v>4.0620000000000003</v>
      </c>
      <c r="K136" s="1">
        <v>4.2539999999999996</v>
      </c>
      <c r="L136" s="1">
        <v>2.2930000000000001</v>
      </c>
      <c r="M136" s="1">
        <v>6.5145</v>
      </c>
      <c r="N136" s="1">
        <v>8.6709999999999994</v>
      </c>
      <c r="O136" s="1">
        <v>5.7784999999999904</v>
      </c>
      <c r="Q136" s="1">
        <v>8.6709999999999994</v>
      </c>
      <c r="R136" s="1">
        <v>5.7784999999999904</v>
      </c>
      <c r="S136" s="1">
        <v>3.6175000000000002</v>
      </c>
      <c r="T136" s="1">
        <v>6.1623333333333301</v>
      </c>
      <c r="U136" s="1">
        <v>3.6244999999999998</v>
      </c>
      <c r="V136" s="1">
        <v>6.6012499999999896</v>
      </c>
      <c r="W136" s="1">
        <v>1.4729999999999901</v>
      </c>
      <c r="Y136" s="1">
        <v>5.5269999999999904</v>
      </c>
      <c r="Z136" s="1">
        <v>5.6935000000000002</v>
      </c>
      <c r="AA136" s="1">
        <v>1.3</v>
      </c>
      <c r="AB136" s="1">
        <v>1.954</v>
      </c>
    </row>
    <row r="137" spans="1:28" ht="16" x14ac:dyDescent="0.2">
      <c r="A137" s="1">
        <v>166</v>
      </c>
      <c r="B137" s="1" t="s">
        <v>202</v>
      </c>
      <c r="C137" s="1" t="s">
        <v>203</v>
      </c>
      <c r="D137" s="1" t="s">
        <v>103</v>
      </c>
      <c r="F137" s="1">
        <v>8.8505000000000003</v>
      </c>
      <c r="G137" s="1">
        <v>8.4319999999999897</v>
      </c>
      <c r="H137" s="1">
        <v>5.0839999999999996</v>
      </c>
      <c r="J137" s="1">
        <v>5.0839999999999996</v>
      </c>
      <c r="K137" s="1">
        <v>6.0259999999999998</v>
      </c>
      <c r="L137" s="1">
        <v>4.6009999999999902</v>
      </c>
      <c r="M137" s="1">
        <v>4.37699999999999</v>
      </c>
      <c r="N137" s="1">
        <v>3.2463333333333302</v>
      </c>
      <c r="O137" s="1">
        <v>2.57899999999999</v>
      </c>
      <c r="Q137" s="1">
        <v>3.2463333333333302</v>
      </c>
      <c r="R137" s="1">
        <v>2.57899999999999</v>
      </c>
      <c r="S137" s="1">
        <v>5.9719999999999898</v>
      </c>
      <c r="T137" s="1">
        <v>3.5983333333333301</v>
      </c>
      <c r="U137" s="1">
        <v>0.5</v>
      </c>
      <c r="V137" s="1">
        <v>3.19875</v>
      </c>
      <c r="W137" s="1">
        <v>2.3144999999999998</v>
      </c>
      <c r="Y137" s="1">
        <v>1.889</v>
      </c>
      <c r="Z137" s="1">
        <v>2.67</v>
      </c>
      <c r="AA137" s="1">
        <v>4.0495000000000001</v>
      </c>
      <c r="AB137" s="1">
        <v>4.069</v>
      </c>
    </row>
    <row r="138" spans="1:28" ht="16" x14ac:dyDescent="0.2">
      <c r="A138" s="1">
        <v>202</v>
      </c>
      <c r="B138" s="1" t="s">
        <v>204</v>
      </c>
      <c r="C138" s="1" t="s">
        <v>205</v>
      </c>
      <c r="D138" s="1" t="s">
        <v>26</v>
      </c>
      <c r="F138" s="1">
        <v>8.9329999999999998</v>
      </c>
      <c r="G138" s="1">
        <v>7.3289999999999997</v>
      </c>
      <c r="H138" s="1">
        <v>5.9290000000000003</v>
      </c>
      <c r="J138" s="1">
        <v>5.9290000000000003</v>
      </c>
      <c r="K138" s="1">
        <v>4.3505000000000003</v>
      </c>
      <c r="L138" s="1">
        <v>1.3580000000000001</v>
      </c>
      <c r="M138" s="1">
        <v>4.0945</v>
      </c>
      <c r="N138" s="1">
        <v>7.3633333333333297</v>
      </c>
      <c r="O138" s="1">
        <v>6.8840000000000003</v>
      </c>
      <c r="Q138" s="1">
        <v>7.3633333333333297</v>
      </c>
      <c r="R138" s="1">
        <v>6.8840000000000003</v>
      </c>
      <c r="S138" s="1">
        <v>7.6254999999999997</v>
      </c>
      <c r="T138" s="1">
        <v>5.71</v>
      </c>
      <c r="U138" s="1">
        <v>4.0909999999999904</v>
      </c>
      <c r="V138" s="1">
        <v>6.9660000000000002</v>
      </c>
      <c r="W138" s="1">
        <v>2.3725000000000001</v>
      </c>
      <c r="Y138" s="1">
        <v>5.8410000000000002</v>
      </c>
      <c r="Z138" s="1">
        <v>7.7065000000000001</v>
      </c>
      <c r="AA138" s="1">
        <v>5.5265000000000004</v>
      </c>
      <c r="AB138" s="1">
        <v>5.3527500000000003</v>
      </c>
    </row>
    <row r="139" spans="1:28" ht="16" x14ac:dyDescent="0.2">
      <c r="A139" s="1">
        <v>20</v>
      </c>
      <c r="B139" s="1" t="s">
        <v>206</v>
      </c>
      <c r="C139" s="1" t="s">
        <v>207</v>
      </c>
      <c r="D139" s="1" t="s">
        <v>16</v>
      </c>
      <c r="F139" s="1">
        <v>6.6555</v>
      </c>
      <c r="G139" s="1">
        <v>6.3</v>
      </c>
      <c r="H139" s="1">
        <v>8.2805</v>
      </c>
      <c r="J139" s="1">
        <v>8.2805</v>
      </c>
      <c r="K139" s="1">
        <v>3.4094999999999902</v>
      </c>
      <c r="L139" s="1">
        <v>0</v>
      </c>
      <c r="M139" s="1">
        <v>3.4344999999999999</v>
      </c>
      <c r="N139" s="1">
        <v>4.3289999999999997</v>
      </c>
      <c r="O139" s="1">
        <v>4.1840000000000002</v>
      </c>
      <c r="Q139" s="1">
        <v>4.3289999999999997</v>
      </c>
      <c r="R139" s="1">
        <v>4.1840000000000002</v>
      </c>
      <c r="S139" s="1">
        <v>6.8330000000000002</v>
      </c>
      <c r="T139" s="1">
        <v>6.15933333333333</v>
      </c>
      <c r="U139" s="1">
        <v>1.0035000000000001</v>
      </c>
      <c r="V139" s="1">
        <v>1.4490000000000001</v>
      </c>
      <c r="W139" s="1">
        <v>1.3045</v>
      </c>
      <c r="Y139" s="1">
        <v>1.5905</v>
      </c>
      <c r="Z139" s="1">
        <v>3.3995000000000002</v>
      </c>
      <c r="AA139" s="1">
        <v>3.8420000000000001</v>
      </c>
      <c r="AB139" s="1">
        <v>4.7727500000000003</v>
      </c>
    </row>
    <row r="140" spans="1:28" ht="16" x14ac:dyDescent="0.2">
      <c r="A140" s="1">
        <v>257</v>
      </c>
      <c r="B140" s="1" t="s">
        <v>208</v>
      </c>
      <c r="C140" s="1" t="s">
        <v>209</v>
      </c>
      <c r="D140" s="1" t="s">
        <v>26</v>
      </c>
      <c r="F140" s="1">
        <v>8.6210000000000004</v>
      </c>
      <c r="G140" s="1">
        <v>7.5759999999999996</v>
      </c>
      <c r="H140" s="1">
        <v>6.5924999999999896</v>
      </c>
      <c r="J140" s="1">
        <v>6.5924999999999896</v>
      </c>
      <c r="K140" s="1">
        <v>4.2229999999999999</v>
      </c>
      <c r="L140" s="1">
        <v>2.8279999999999998</v>
      </c>
      <c r="M140" s="1">
        <v>4.6909999999999998</v>
      </c>
      <c r="N140" s="1">
        <v>7.6003333333333298</v>
      </c>
      <c r="O140" s="1">
        <v>7.3929999999999998</v>
      </c>
      <c r="Q140" s="1">
        <v>7.6003333333333298</v>
      </c>
      <c r="R140" s="1">
        <v>7.3929999999999998</v>
      </c>
      <c r="S140" s="1">
        <v>8.8569999999999993</v>
      </c>
      <c r="T140" s="1">
        <v>6.3306666666666596</v>
      </c>
      <c r="U140" s="1">
        <v>3.7</v>
      </c>
      <c r="V140" s="1">
        <v>8.7177500000000006</v>
      </c>
      <c r="W140" s="1">
        <v>2.105</v>
      </c>
      <c r="Y140" s="1">
        <v>7.9264999999999999</v>
      </c>
      <c r="Z140" s="1">
        <v>5.1985000000000001</v>
      </c>
      <c r="AA140" s="1">
        <v>4.1059999999999999</v>
      </c>
      <c r="AB140" s="1">
        <v>5.9277499999999996</v>
      </c>
    </row>
    <row r="141" spans="1:28" ht="16" x14ac:dyDescent="0.2">
      <c r="A141" s="1">
        <v>170</v>
      </c>
      <c r="B141" s="1" t="s">
        <v>210</v>
      </c>
      <c r="C141" s="1" t="s">
        <v>211</v>
      </c>
      <c r="D141" s="1" t="s">
        <v>6</v>
      </c>
      <c r="F141" s="1">
        <v>5.3390000000000004</v>
      </c>
      <c r="G141" s="1">
        <v>4.9919999999999902</v>
      </c>
      <c r="H141" s="1">
        <v>4.3460000000000001</v>
      </c>
      <c r="J141" s="1">
        <v>4.3460000000000001</v>
      </c>
      <c r="K141" s="1">
        <v>4.7365000000000004</v>
      </c>
      <c r="L141" s="1">
        <v>1.21</v>
      </c>
      <c r="M141" s="1">
        <v>6.5145</v>
      </c>
      <c r="N141" s="1">
        <v>8.6709999999999994</v>
      </c>
      <c r="O141" s="1">
        <v>5.1239999999999997</v>
      </c>
      <c r="Q141" s="1">
        <v>8.6709999999999994</v>
      </c>
      <c r="R141" s="1">
        <v>5.1239999999999997</v>
      </c>
      <c r="S141" s="1">
        <v>2.0880000000000001</v>
      </c>
      <c r="T141" s="1">
        <v>5.8839999999999897</v>
      </c>
      <c r="U141" s="1">
        <v>4.1519999999999904</v>
      </c>
      <c r="V141" s="1">
        <v>5.6740000000000004</v>
      </c>
      <c r="W141" s="1">
        <v>1.7569999999999999</v>
      </c>
      <c r="Y141" s="1">
        <v>6.4530000000000003</v>
      </c>
      <c r="Z141" s="1">
        <v>7.1985000000000001</v>
      </c>
      <c r="AA141" s="1">
        <v>1</v>
      </c>
      <c r="AB141" s="1">
        <v>4.6274999999999897</v>
      </c>
    </row>
    <row r="142" spans="1:28" ht="16" x14ac:dyDescent="0.2">
      <c r="A142" s="1">
        <v>141</v>
      </c>
      <c r="B142" s="1" t="s">
        <v>212</v>
      </c>
      <c r="C142" s="1" t="s">
        <v>213</v>
      </c>
      <c r="D142" s="1" t="s">
        <v>26</v>
      </c>
      <c r="F142" s="1">
        <v>2.4529999999999998</v>
      </c>
      <c r="G142" s="1">
        <v>3.411</v>
      </c>
      <c r="H142" s="1">
        <v>7.1509999999999998</v>
      </c>
      <c r="J142" s="1">
        <v>7.1509999999999998</v>
      </c>
      <c r="K142" s="1">
        <v>3.3075000000000001</v>
      </c>
      <c r="L142" s="1">
        <v>1.899</v>
      </c>
      <c r="M142" s="1">
        <v>7.4729999999999999</v>
      </c>
      <c r="N142" s="1">
        <v>7.8566666666666602</v>
      </c>
      <c r="O142" s="1">
        <v>8.8045000000000009</v>
      </c>
      <c r="Q142" s="1">
        <v>7.8566666666666602</v>
      </c>
      <c r="R142" s="1">
        <v>8.8045000000000009</v>
      </c>
      <c r="S142" s="1">
        <v>8.6279999999999895</v>
      </c>
      <c r="T142" s="1">
        <v>8.2203333333333308</v>
      </c>
      <c r="U142" s="1">
        <v>3.4794999999999998</v>
      </c>
      <c r="V142" s="1">
        <v>8.5762499999999999</v>
      </c>
      <c r="W142" s="1">
        <v>4.5804999999999998</v>
      </c>
      <c r="Y142" s="1">
        <v>5.4580000000000002</v>
      </c>
      <c r="Z142" s="1">
        <v>4.4954999999999998</v>
      </c>
      <c r="AA142" s="1">
        <v>1.4749999999999901</v>
      </c>
      <c r="AB142" s="1">
        <v>5.8445</v>
      </c>
    </row>
    <row r="143" spans="1:28" ht="16" x14ac:dyDescent="0.2">
      <c r="A143" s="1">
        <v>227</v>
      </c>
      <c r="B143" s="1" t="s">
        <v>214</v>
      </c>
      <c r="C143" s="1" t="s">
        <v>215</v>
      </c>
      <c r="D143" s="1" t="s">
        <v>26</v>
      </c>
      <c r="F143" s="1">
        <v>9.7405000000000008</v>
      </c>
      <c r="G143" s="1">
        <v>9.11</v>
      </c>
      <c r="H143" s="1">
        <v>9.4749999999999996</v>
      </c>
      <c r="J143" s="1">
        <v>9.4749999999999996</v>
      </c>
      <c r="K143" s="1">
        <v>2.99399999999999</v>
      </c>
      <c r="L143" s="1">
        <v>0</v>
      </c>
      <c r="M143" s="1">
        <v>4.1224999999999996</v>
      </c>
      <c r="N143" s="1">
        <v>6.8823333333333299</v>
      </c>
      <c r="O143" s="1">
        <v>4.2895000000000003</v>
      </c>
      <c r="Q143" s="1">
        <v>6.8823333333333299</v>
      </c>
      <c r="R143" s="1">
        <v>4.2895000000000003</v>
      </c>
      <c r="S143" s="1">
        <v>7.2794999999999996</v>
      </c>
      <c r="T143" s="1">
        <v>6.6286666666666596</v>
      </c>
      <c r="U143" s="1">
        <v>0.5</v>
      </c>
      <c r="V143" s="1">
        <v>2.6492499999999999</v>
      </c>
      <c r="W143" s="1">
        <v>1.6779999999999999</v>
      </c>
      <c r="Y143" s="1">
        <v>4.5204999999999904</v>
      </c>
      <c r="Z143" s="1">
        <v>6.2080000000000002</v>
      </c>
      <c r="AA143" s="1">
        <v>3.302</v>
      </c>
      <c r="AB143" s="1">
        <v>5.7364999999999897</v>
      </c>
    </row>
    <row r="144" spans="1:28" ht="16" x14ac:dyDescent="0.2">
      <c r="A144" s="1">
        <v>191</v>
      </c>
      <c r="B144" s="1" t="s">
        <v>216</v>
      </c>
      <c r="C144" s="1" t="s">
        <v>217</v>
      </c>
      <c r="D144" s="1" t="s">
        <v>6</v>
      </c>
      <c r="F144" s="1">
        <v>0</v>
      </c>
      <c r="G144" s="1">
        <v>0</v>
      </c>
      <c r="H144" s="1">
        <v>4.0620000000000003</v>
      </c>
      <c r="J144" s="1">
        <v>4.0620000000000003</v>
      </c>
      <c r="K144" s="1">
        <v>3.637</v>
      </c>
      <c r="L144" s="1">
        <v>0</v>
      </c>
      <c r="M144" s="1">
        <v>6.5145</v>
      </c>
      <c r="N144" s="1">
        <v>8.6709999999999994</v>
      </c>
      <c r="O144" s="1">
        <v>8.2709999999999901</v>
      </c>
      <c r="Q144" s="1">
        <v>8.6709999999999994</v>
      </c>
      <c r="R144" s="1">
        <v>8.2709999999999901</v>
      </c>
      <c r="S144" s="1">
        <v>6.3584999999999896</v>
      </c>
      <c r="T144" s="1">
        <v>5.1746666666666599</v>
      </c>
      <c r="U144" s="1">
        <v>3.6244999999999998</v>
      </c>
      <c r="V144" s="1">
        <v>7.6754999999999898</v>
      </c>
      <c r="W144" s="1">
        <v>1.1019999999999901</v>
      </c>
      <c r="Y144" s="1">
        <v>3.5465</v>
      </c>
      <c r="Z144" s="1">
        <v>3.3049999999999899</v>
      </c>
      <c r="AA144" s="1">
        <v>4.9779999999999998</v>
      </c>
      <c r="AB144" s="1">
        <v>1.9702500000000001</v>
      </c>
    </row>
    <row r="145" spans="1:28" ht="16" x14ac:dyDescent="0.2">
      <c r="A145" s="1">
        <v>124</v>
      </c>
      <c r="B145" s="1" t="s">
        <v>218</v>
      </c>
      <c r="C145" s="1" t="s">
        <v>219</v>
      </c>
      <c r="D145" s="1" t="s">
        <v>16</v>
      </c>
      <c r="F145" s="1">
        <v>8.6634999999999902</v>
      </c>
      <c r="G145" s="1">
        <v>8.2379999999999995</v>
      </c>
      <c r="H145" s="1">
        <v>6.1265000000000001</v>
      </c>
      <c r="J145" s="1">
        <v>6.1265000000000001</v>
      </c>
      <c r="K145" s="1">
        <v>5.5419999999999998</v>
      </c>
      <c r="L145" s="1">
        <v>4.2450000000000001</v>
      </c>
      <c r="M145" s="1">
        <v>6.3390000000000004</v>
      </c>
      <c r="N145" s="1">
        <v>7.5973333333333297</v>
      </c>
      <c r="O145" s="1">
        <v>1.528</v>
      </c>
      <c r="Q145" s="1">
        <v>7.5973333333333297</v>
      </c>
      <c r="R145" s="1">
        <v>1.528</v>
      </c>
      <c r="S145" s="1">
        <v>5.8809999999999896</v>
      </c>
      <c r="T145" s="1">
        <v>5.9503333333333304</v>
      </c>
      <c r="U145" s="1">
        <v>2.5270000000000001</v>
      </c>
      <c r="V145" s="1">
        <v>3.8699999999999899</v>
      </c>
      <c r="W145" s="1">
        <v>3.5619999999999998</v>
      </c>
      <c r="Y145" s="1">
        <v>5.4615</v>
      </c>
      <c r="Z145" s="1">
        <v>7.1660000000000004</v>
      </c>
      <c r="AA145" s="1">
        <v>5.7385000000000002</v>
      </c>
      <c r="AB145" s="1">
        <v>4.3797499999999996</v>
      </c>
    </row>
    <row r="146" spans="1:28" ht="16" x14ac:dyDescent="0.2">
      <c r="A146" s="1">
        <v>253</v>
      </c>
      <c r="B146" s="1" t="s">
        <v>220</v>
      </c>
      <c r="C146" s="1" t="s">
        <v>221</v>
      </c>
      <c r="D146" s="1" t="s">
        <v>26</v>
      </c>
      <c r="F146" s="1">
        <v>3.153</v>
      </c>
      <c r="G146" s="1">
        <v>0</v>
      </c>
      <c r="H146" s="1">
        <v>5.7834999999999903</v>
      </c>
      <c r="J146" s="1">
        <v>5.7834999999999903</v>
      </c>
      <c r="K146" s="1">
        <v>3.9094999999999902</v>
      </c>
      <c r="L146" s="1">
        <v>2.1480000000000001</v>
      </c>
      <c r="M146" s="1">
        <v>5.5395000000000003</v>
      </c>
      <c r="N146" s="1">
        <v>5.3769999999999998</v>
      </c>
      <c r="O146" s="1">
        <v>7.56299999999999</v>
      </c>
      <c r="Q146" s="1">
        <v>5.3769999999999998</v>
      </c>
      <c r="R146" s="1">
        <v>7.56299999999999</v>
      </c>
      <c r="S146" s="1">
        <v>8.5180000000000007</v>
      </c>
      <c r="T146" s="1">
        <v>8.1069999999999993</v>
      </c>
      <c r="U146" s="1">
        <v>2.8194999999999899</v>
      </c>
      <c r="V146" s="1">
        <v>3.7757499999999999</v>
      </c>
      <c r="W146" s="1">
        <v>1.889</v>
      </c>
      <c r="Y146" s="1">
        <v>3.2014999999999998</v>
      </c>
      <c r="Z146" s="1">
        <v>5.827</v>
      </c>
      <c r="AA146" s="1">
        <v>4.7169999999999899</v>
      </c>
      <c r="AB146" s="1">
        <v>0</v>
      </c>
    </row>
    <row r="147" spans="1:28" ht="16" x14ac:dyDescent="0.2">
      <c r="A147" s="1">
        <v>16</v>
      </c>
      <c r="B147" s="1" t="s">
        <v>222</v>
      </c>
      <c r="C147" s="1" t="s">
        <v>223</v>
      </c>
      <c r="D147" s="1" t="s">
        <v>6</v>
      </c>
      <c r="F147" s="1">
        <v>4.8299999999999903</v>
      </c>
      <c r="G147" s="1">
        <v>4.9820000000000002</v>
      </c>
      <c r="H147" s="1">
        <v>4.0620000000000003</v>
      </c>
      <c r="J147" s="1">
        <v>4.0620000000000003</v>
      </c>
      <c r="K147" s="1">
        <v>0</v>
      </c>
      <c r="L147" s="1">
        <v>4.3579999999999997</v>
      </c>
      <c r="M147" s="1">
        <v>6.5145</v>
      </c>
      <c r="N147" s="1">
        <v>5.5019999999999998</v>
      </c>
      <c r="O147" s="1">
        <v>5.7549999999999999</v>
      </c>
      <c r="Q147" s="1">
        <v>5.5019999999999998</v>
      </c>
      <c r="R147" s="1">
        <v>5.7549999999999999</v>
      </c>
      <c r="S147" s="1">
        <v>2.3730000000000002</v>
      </c>
      <c r="T147" s="1">
        <v>6.8706666666666596</v>
      </c>
      <c r="U147" s="1">
        <v>5.8804999999999996</v>
      </c>
      <c r="V147" s="1">
        <v>5.7845000000000004</v>
      </c>
      <c r="W147" s="1">
        <v>3.6664999999999899</v>
      </c>
      <c r="Y147" s="1">
        <v>4.9880000000000004</v>
      </c>
      <c r="Z147" s="1">
        <v>0</v>
      </c>
      <c r="AA147" s="1">
        <v>3.9794999999999998</v>
      </c>
      <c r="AB147" s="1">
        <v>4.9347500000000002</v>
      </c>
    </row>
    <row r="148" spans="1:28" ht="48" x14ac:dyDescent="0.2">
      <c r="A148" s="1">
        <v>35</v>
      </c>
      <c r="B148" s="1" t="s">
        <v>224</v>
      </c>
      <c r="C148" s="1" t="s">
        <v>225</v>
      </c>
      <c r="D148" s="1" t="s">
        <v>6</v>
      </c>
      <c r="F148" s="1">
        <v>1</v>
      </c>
      <c r="G148" s="1">
        <v>4.2590000000000003</v>
      </c>
      <c r="H148" s="1">
        <v>4.0620000000000003</v>
      </c>
      <c r="J148" s="1">
        <v>4.0620000000000003</v>
      </c>
      <c r="K148" s="1">
        <v>9.5649999999999995</v>
      </c>
      <c r="L148" s="1">
        <v>10</v>
      </c>
      <c r="M148" s="1">
        <v>6.5145</v>
      </c>
      <c r="N148" s="1">
        <v>8.6709999999999994</v>
      </c>
      <c r="O148" s="1">
        <v>8.4815000000000005</v>
      </c>
      <c r="Q148" s="1">
        <v>8.6709999999999994</v>
      </c>
      <c r="R148" s="1">
        <v>8.4815000000000005</v>
      </c>
      <c r="S148" s="1">
        <v>7.742</v>
      </c>
      <c r="T148" s="1">
        <v>6.7289999999999903</v>
      </c>
      <c r="U148" s="1">
        <v>8.6244999999999994</v>
      </c>
      <c r="V148" s="1">
        <v>8.1705000000000005</v>
      </c>
      <c r="W148" s="1">
        <v>3.2149999999999999</v>
      </c>
      <c r="Y148" s="1">
        <v>5.7004999999999999</v>
      </c>
      <c r="Z148" s="1">
        <v>8.5640000000000001</v>
      </c>
      <c r="AA148" s="1">
        <v>5.6599999999999904</v>
      </c>
      <c r="AB148" s="1">
        <v>4.3962500000000002</v>
      </c>
    </row>
    <row r="149" spans="1:28" ht="16" x14ac:dyDescent="0.2">
      <c r="A149" s="1">
        <v>99</v>
      </c>
      <c r="B149" s="1" t="s">
        <v>226</v>
      </c>
      <c r="C149" s="1" t="s">
        <v>227</v>
      </c>
      <c r="D149" s="1" t="s">
        <v>6</v>
      </c>
      <c r="F149" s="1">
        <v>9.5269999999999992</v>
      </c>
      <c r="G149" s="1">
        <v>9.49</v>
      </c>
      <c r="H149" s="1">
        <v>4.3334999999999999</v>
      </c>
      <c r="J149" s="1">
        <v>4.3334999999999999</v>
      </c>
      <c r="K149" s="1">
        <v>4.3445</v>
      </c>
      <c r="L149" s="1">
        <v>0</v>
      </c>
      <c r="M149" s="1">
        <v>3.5005000000000002</v>
      </c>
      <c r="N149" s="1">
        <v>5.7649999999999899</v>
      </c>
      <c r="O149" s="1">
        <v>8.1575000000000006</v>
      </c>
      <c r="Q149" s="1">
        <v>5.7649999999999899</v>
      </c>
      <c r="R149" s="1">
        <v>8.1575000000000006</v>
      </c>
      <c r="S149" s="1">
        <v>6.4720000000000004</v>
      </c>
      <c r="T149" s="1">
        <v>7.03433333333333</v>
      </c>
      <c r="U149" s="1">
        <v>1.2095</v>
      </c>
      <c r="V149" s="1">
        <v>3.3432499999999998</v>
      </c>
      <c r="W149" s="1">
        <v>1.72949999999999</v>
      </c>
      <c r="Y149" s="1">
        <v>4.0925000000000002</v>
      </c>
      <c r="Z149" s="1">
        <v>7.657</v>
      </c>
      <c r="AA149" s="1">
        <v>3.4765000000000001</v>
      </c>
      <c r="AB149" s="1">
        <v>4.3455000000000004</v>
      </c>
    </row>
    <row r="150" spans="1:28" ht="16" x14ac:dyDescent="0.2">
      <c r="A150" s="1">
        <v>155</v>
      </c>
      <c r="B150" s="1" t="s">
        <v>228</v>
      </c>
      <c r="C150" s="1" t="s">
        <v>227</v>
      </c>
      <c r="D150" s="1" t="s">
        <v>6</v>
      </c>
      <c r="F150" s="1">
        <v>8.36</v>
      </c>
      <c r="G150" s="1">
        <v>9.2439999999999998</v>
      </c>
      <c r="H150" s="1">
        <v>4.3334999999999999</v>
      </c>
      <c r="J150" s="1">
        <v>4.3334999999999999</v>
      </c>
      <c r="K150" s="1">
        <v>7.4799999999999898</v>
      </c>
      <c r="L150" s="1">
        <v>2.6339999999999999</v>
      </c>
      <c r="M150" s="1">
        <v>3.5005000000000002</v>
      </c>
      <c r="N150" s="1">
        <v>5.7609999999999904</v>
      </c>
      <c r="O150" s="1">
        <v>7.0890000000000004</v>
      </c>
      <c r="Q150" s="1">
        <v>5.7609999999999904</v>
      </c>
      <c r="R150" s="1">
        <v>7.0890000000000004</v>
      </c>
      <c r="S150" s="1">
        <v>5.4640000000000004</v>
      </c>
      <c r="T150" s="1">
        <v>6.3799999999999901</v>
      </c>
      <c r="U150" s="1">
        <v>1.7130000000000001</v>
      </c>
      <c r="V150" s="1">
        <v>2.5062500000000001</v>
      </c>
      <c r="W150" s="1">
        <v>2.87</v>
      </c>
      <c r="Y150" s="1">
        <v>5.8404999999999996</v>
      </c>
      <c r="Z150" s="1">
        <v>9.9619999999999997</v>
      </c>
      <c r="AA150" s="1">
        <v>3.9140000000000001</v>
      </c>
      <c r="AB150" s="1">
        <v>3.806</v>
      </c>
    </row>
    <row r="151" spans="1:28" ht="16" x14ac:dyDescent="0.2">
      <c r="A151" s="1">
        <v>77</v>
      </c>
      <c r="B151" s="1" t="s">
        <v>229</v>
      </c>
      <c r="C151" s="1" t="s">
        <v>230</v>
      </c>
      <c r="D151" s="1" t="s">
        <v>6</v>
      </c>
      <c r="F151" s="1">
        <v>6.2229999999999999</v>
      </c>
      <c r="G151" s="1">
        <v>6.032</v>
      </c>
      <c r="H151" s="1">
        <v>3.7785000000000002</v>
      </c>
      <c r="J151" s="1">
        <v>3.7785000000000002</v>
      </c>
      <c r="K151" s="1">
        <v>5.4015000000000004</v>
      </c>
      <c r="L151" s="1">
        <v>5.1839999999999904</v>
      </c>
      <c r="M151" s="1">
        <v>6.5145</v>
      </c>
      <c r="N151" s="1">
        <v>8.6709999999999994</v>
      </c>
      <c r="O151" s="1">
        <v>3.6779999999999999</v>
      </c>
      <c r="Q151" s="1">
        <v>8.6709999999999994</v>
      </c>
      <c r="R151" s="1">
        <v>3.6779999999999999</v>
      </c>
      <c r="S151" s="1">
        <v>4.4615</v>
      </c>
      <c r="T151" s="1">
        <v>5.7863333333333298</v>
      </c>
      <c r="U151" s="1">
        <v>5.8185000000000002</v>
      </c>
      <c r="V151" s="1">
        <v>4.0467500000000003</v>
      </c>
      <c r="W151" s="1">
        <v>3.6404999999999998</v>
      </c>
      <c r="Y151" s="1">
        <v>6.1669999999999998</v>
      </c>
      <c r="Z151" s="1">
        <v>7.4779999999999998</v>
      </c>
      <c r="AA151" s="1">
        <v>5.3874999999999904</v>
      </c>
      <c r="AB151" s="1">
        <v>0.93299999999999905</v>
      </c>
    </row>
    <row r="152" spans="1:28" ht="32" x14ac:dyDescent="0.2">
      <c r="A152" s="1">
        <v>159</v>
      </c>
      <c r="B152" s="1" t="s">
        <v>231</v>
      </c>
      <c r="C152" s="1" t="s">
        <v>232</v>
      </c>
      <c r="D152" s="1" t="s">
        <v>6</v>
      </c>
      <c r="F152" s="1">
        <v>4.7385000000000002</v>
      </c>
      <c r="G152" s="1">
        <v>5.0419999999999998</v>
      </c>
      <c r="H152" s="1">
        <v>4.0620000000000003</v>
      </c>
      <c r="J152" s="1">
        <v>4.0620000000000003</v>
      </c>
      <c r="K152" s="1">
        <v>6.5264999999999898</v>
      </c>
      <c r="L152" s="1">
        <v>5.5229999999999997</v>
      </c>
      <c r="M152" s="1">
        <v>6.5145</v>
      </c>
      <c r="N152" s="1">
        <v>8.6709999999999994</v>
      </c>
      <c r="O152" s="1">
        <v>7.2880000000000003</v>
      </c>
      <c r="Q152" s="1">
        <v>8.6709999999999994</v>
      </c>
      <c r="R152" s="1">
        <v>7.2880000000000003</v>
      </c>
      <c r="S152" s="1">
        <v>5.085</v>
      </c>
      <c r="T152" s="1">
        <v>6.6809999999999903</v>
      </c>
      <c r="U152" s="1">
        <v>5.2744999999999997</v>
      </c>
      <c r="V152" s="1">
        <v>8.3620000000000001</v>
      </c>
      <c r="W152" s="1">
        <v>3.544</v>
      </c>
      <c r="Y152" s="1">
        <v>6.25849999999999</v>
      </c>
      <c r="Z152" s="1">
        <v>6.8505000000000003</v>
      </c>
      <c r="AA152" s="1">
        <v>5.0959999999999903</v>
      </c>
      <c r="AB152" s="1">
        <v>4.9249999999999901</v>
      </c>
    </row>
    <row r="153" spans="1:28" ht="16" x14ac:dyDescent="0.2">
      <c r="A153" s="1">
        <v>117</v>
      </c>
      <c r="B153" s="1" t="s">
        <v>233</v>
      </c>
      <c r="C153" s="1" t="s">
        <v>234</v>
      </c>
      <c r="D153" s="1" t="s">
        <v>6</v>
      </c>
      <c r="F153" s="1">
        <v>6.7074999999999996</v>
      </c>
      <c r="G153" s="1">
        <v>5.8440000000000003</v>
      </c>
      <c r="H153" s="1">
        <v>4.0620000000000003</v>
      </c>
      <c r="J153" s="1">
        <v>4.0620000000000003</v>
      </c>
      <c r="K153" s="1">
        <v>2.7939999999999898</v>
      </c>
      <c r="L153" s="1">
        <v>3.5379999999999998</v>
      </c>
      <c r="M153" s="1">
        <v>6.5145</v>
      </c>
      <c r="N153" s="1">
        <v>8.6709999999999994</v>
      </c>
      <c r="O153" s="1">
        <v>5.0205000000000002</v>
      </c>
      <c r="Q153" s="1">
        <v>8.6709999999999994</v>
      </c>
      <c r="R153" s="1">
        <v>5.0205000000000002</v>
      </c>
      <c r="S153" s="1">
        <v>4.4225000000000003</v>
      </c>
      <c r="T153" s="1">
        <v>6.4496666666666602</v>
      </c>
      <c r="U153" s="1">
        <v>3.6244999999999998</v>
      </c>
      <c r="V153" s="1">
        <v>7.9764999999999997</v>
      </c>
      <c r="W153" s="1">
        <v>1.86899999999999</v>
      </c>
      <c r="Y153" s="1">
        <v>8.1884999999999994</v>
      </c>
      <c r="Z153" s="1">
        <v>6.6745000000000001</v>
      </c>
      <c r="AA153" s="1">
        <v>4.1615000000000002</v>
      </c>
      <c r="AB153" s="1">
        <v>1.9724999999999999</v>
      </c>
    </row>
    <row r="154" spans="1:28" ht="16" x14ac:dyDescent="0.2">
      <c r="A154" s="1">
        <v>229</v>
      </c>
      <c r="B154" s="1" t="s">
        <v>235</v>
      </c>
      <c r="C154" s="1" t="s">
        <v>234</v>
      </c>
      <c r="D154" s="1" t="s">
        <v>6</v>
      </c>
      <c r="F154" s="1">
        <v>6.9580000000000002</v>
      </c>
      <c r="G154" s="1">
        <v>5.5039999999999996</v>
      </c>
      <c r="H154" s="1">
        <v>4.0620000000000003</v>
      </c>
      <c r="J154" s="1">
        <v>4.0620000000000003</v>
      </c>
      <c r="K154" s="1">
        <v>5.4240000000000004</v>
      </c>
      <c r="L154" s="1">
        <v>3.8849999999999998</v>
      </c>
      <c r="M154" s="1">
        <v>6.5145</v>
      </c>
      <c r="N154" s="1">
        <v>8.6709999999999994</v>
      </c>
      <c r="O154" s="1">
        <v>4.3759999999999897</v>
      </c>
      <c r="Q154" s="1">
        <v>8.6709999999999994</v>
      </c>
      <c r="R154" s="1">
        <v>4.3759999999999897</v>
      </c>
      <c r="S154" s="1">
        <v>3.8805000000000001</v>
      </c>
      <c r="T154" s="1">
        <v>6.6699999999999902</v>
      </c>
      <c r="U154" s="1">
        <v>5.2714999999999996</v>
      </c>
      <c r="V154" s="1">
        <v>7.37425</v>
      </c>
      <c r="W154" s="1">
        <v>2.5314999999999999</v>
      </c>
      <c r="Y154" s="1">
        <v>8.9090000000000007</v>
      </c>
      <c r="Z154" s="1">
        <v>7.6425000000000001</v>
      </c>
      <c r="AA154" s="1">
        <v>4.8285</v>
      </c>
      <c r="AB154" s="1">
        <v>5.0854999999999997</v>
      </c>
    </row>
    <row r="155" spans="1:28" ht="16" x14ac:dyDescent="0.2">
      <c r="A155" s="1">
        <v>61</v>
      </c>
      <c r="B155" s="1" t="s">
        <v>236</v>
      </c>
      <c r="C155" s="1" t="s">
        <v>237</v>
      </c>
      <c r="D155" s="1" t="s">
        <v>26</v>
      </c>
      <c r="F155" s="1">
        <v>9.6764999999999901</v>
      </c>
      <c r="G155" s="1">
        <v>9.343</v>
      </c>
      <c r="H155" s="1">
        <v>6.2324999999999999</v>
      </c>
      <c r="J155" s="1">
        <v>6.2324999999999999</v>
      </c>
      <c r="K155" s="1">
        <v>3.0535000000000001</v>
      </c>
      <c r="L155" s="1">
        <v>0</v>
      </c>
      <c r="M155" s="1">
        <v>3.9765000000000001</v>
      </c>
      <c r="N155" s="1">
        <v>5.4433333333333298</v>
      </c>
      <c r="O155" s="1">
        <v>6.6469999999999896</v>
      </c>
      <c r="Q155" s="1">
        <v>5.4433333333333298</v>
      </c>
      <c r="R155" s="1">
        <v>6.6469999999999896</v>
      </c>
      <c r="S155" s="1">
        <v>7.6279999999999903</v>
      </c>
      <c r="T155" s="1">
        <v>5.0659999999999901</v>
      </c>
      <c r="U155" s="1">
        <v>1.3995</v>
      </c>
      <c r="V155" s="1">
        <v>4.3382499999999897</v>
      </c>
      <c r="W155" s="1">
        <v>1.6025</v>
      </c>
      <c r="Y155" s="1">
        <v>5.3615000000000004</v>
      </c>
      <c r="Z155" s="1">
        <v>2.7120000000000002</v>
      </c>
      <c r="AA155" s="1">
        <v>3.121</v>
      </c>
      <c r="AB155" s="1">
        <v>5.4950000000000001</v>
      </c>
    </row>
    <row r="156" spans="1:28" ht="16" x14ac:dyDescent="0.2">
      <c r="A156" s="1">
        <v>37</v>
      </c>
      <c r="B156" s="1" t="s">
        <v>238</v>
      </c>
      <c r="C156" s="1" t="s">
        <v>239</v>
      </c>
      <c r="D156" s="1" t="s">
        <v>6</v>
      </c>
      <c r="F156" s="1">
        <v>2.9489999999999998</v>
      </c>
      <c r="G156" s="1">
        <v>0</v>
      </c>
      <c r="H156" s="1">
        <v>4.0620000000000003</v>
      </c>
      <c r="J156" s="1">
        <v>4.0620000000000003</v>
      </c>
      <c r="K156" s="1">
        <v>3.407</v>
      </c>
      <c r="L156" s="1">
        <v>0</v>
      </c>
      <c r="M156" s="1">
        <v>6.5145</v>
      </c>
      <c r="N156" s="1">
        <v>8.6709999999999994</v>
      </c>
      <c r="O156" s="1">
        <v>7.2934999999999999</v>
      </c>
      <c r="Q156" s="1">
        <v>8.6709999999999994</v>
      </c>
      <c r="R156" s="1">
        <v>7.2934999999999999</v>
      </c>
      <c r="S156" s="1">
        <v>6.9145000000000003</v>
      </c>
      <c r="T156" s="1">
        <v>6.5149999999999997</v>
      </c>
      <c r="U156" s="1">
        <v>4.1280000000000001</v>
      </c>
      <c r="V156" s="1">
        <v>9.3689999999999998</v>
      </c>
      <c r="W156" s="1">
        <v>1.1904999999999999</v>
      </c>
      <c r="Y156" s="1">
        <v>5.1559999999999997</v>
      </c>
      <c r="Z156" s="1">
        <v>1.90699999999999</v>
      </c>
      <c r="AA156" s="1">
        <v>6.1340000000000003</v>
      </c>
      <c r="AB156" s="1">
        <v>0</v>
      </c>
    </row>
    <row r="157" spans="1:28" ht="16" x14ac:dyDescent="0.2">
      <c r="A157" s="1">
        <v>54</v>
      </c>
      <c r="B157" s="1" t="s">
        <v>240</v>
      </c>
      <c r="C157" s="1" t="s">
        <v>241</v>
      </c>
      <c r="D157" s="1" t="s">
        <v>103</v>
      </c>
      <c r="F157" s="1">
        <v>8.8219999999999992</v>
      </c>
      <c r="G157" s="1">
        <v>9.0879999999999992</v>
      </c>
      <c r="H157" s="1">
        <v>3.2994999999999899</v>
      </c>
      <c r="J157" s="1">
        <v>3.2994999999999899</v>
      </c>
      <c r="K157" s="1">
        <v>3.0974999999999899</v>
      </c>
      <c r="L157" s="1">
        <v>0</v>
      </c>
      <c r="M157" s="1">
        <v>3.17349999999999</v>
      </c>
      <c r="N157" s="1">
        <v>5.6143333333333301</v>
      </c>
      <c r="O157" s="1">
        <v>2.9449999999999998</v>
      </c>
      <c r="Q157" s="1">
        <v>5.6143333333333301</v>
      </c>
      <c r="R157" s="1">
        <v>2.9449999999999998</v>
      </c>
      <c r="S157" s="1">
        <v>6.7755000000000001</v>
      </c>
      <c r="T157" s="1">
        <v>4.47</v>
      </c>
      <c r="U157" s="1">
        <v>0</v>
      </c>
      <c r="V157" s="1">
        <v>2.2555000000000001</v>
      </c>
      <c r="W157" s="1">
        <v>2.9144999999999999</v>
      </c>
      <c r="Y157" s="1">
        <v>2.0670000000000002</v>
      </c>
      <c r="Z157" s="1">
        <v>2.6829999999999998</v>
      </c>
      <c r="AA157" s="1">
        <v>3.9935</v>
      </c>
      <c r="AB157" s="1">
        <v>4.26</v>
      </c>
    </row>
    <row r="158" spans="1:28" ht="16" x14ac:dyDescent="0.2">
      <c r="A158" s="1">
        <v>175</v>
      </c>
      <c r="B158" s="1" t="s">
        <v>242</v>
      </c>
      <c r="C158" s="1" t="s">
        <v>243</v>
      </c>
      <c r="D158" s="1" t="s">
        <v>6</v>
      </c>
      <c r="F158" s="1">
        <v>7.0404999999999998</v>
      </c>
      <c r="G158" s="1">
        <v>5.9939999999999998</v>
      </c>
      <c r="H158" s="1">
        <v>4.2039999999999997</v>
      </c>
      <c r="J158" s="1">
        <v>4.2039999999999997</v>
      </c>
      <c r="K158" s="1">
        <v>4.0119999999999996</v>
      </c>
      <c r="L158" s="1">
        <v>0</v>
      </c>
      <c r="M158" s="1">
        <v>6.5145</v>
      </c>
      <c r="N158" s="1">
        <v>8.6709999999999994</v>
      </c>
      <c r="O158" s="1">
        <v>5.8009999999999904</v>
      </c>
      <c r="Q158" s="1">
        <v>8.6709999999999994</v>
      </c>
      <c r="R158" s="1">
        <v>5.8009999999999904</v>
      </c>
      <c r="S158" s="1">
        <v>5.5519999999999996</v>
      </c>
      <c r="T158" s="1">
        <v>6.8939999999999904</v>
      </c>
      <c r="U158" s="1">
        <v>4.1280000000000001</v>
      </c>
      <c r="V158" s="1">
        <v>7.8760000000000003</v>
      </c>
      <c r="W158" s="1">
        <v>1.4165000000000001</v>
      </c>
      <c r="Y158" s="1">
        <v>6.3064999999999998</v>
      </c>
      <c r="Z158" s="1">
        <v>4.9420000000000002</v>
      </c>
      <c r="AA158" s="1">
        <v>4.181</v>
      </c>
      <c r="AB158" s="1">
        <v>2.1277499999999998</v>
      </c>
    </row>
    <row r="159" spans="1:28" ht="16" x14ac:dyDescent="0.2">
      <c r="A159" s="1">
        <v>119</v>
      </c>
      <c r="B159" s="1" t="s">
        <v>244</v>
      </c>
      <c r="C159" s="1" t="s">
        <v>245</v>
      </c>
      <c r="D159" s="1" t="s">
        <v>16</v>
      </c>
      <c r="F159" s="1">
        <v>10</v>
      </c>
      <c r="G159" s="1">
        <v>9.4450000000000003</v>
      </c>
      <c r="H159" s="1">
        <v>5.5129999999999999</v>
      </c>
      <c r="J159" s="1">
        <v>5.5129999999999999</v>
      </c>
      <c r="K159" s="1">
        <v>3.2109999999999999</v>
      </c>
      <c r="L159" s="1">
        <v>0</v>
      </c>
      <c r="M159" s="1">
        <v>4.4960000000000004</v>
      </c>
      <c r="N159" s="1">
        <v>4.7403333333333304</v>
      </c>
      <c r="O159" s="1">
        <v>9.1289999999999996</v>
      </c>
      <c r="Q159" s="1">
        <v>4.7403333333333304</v>
      </c>
      <c r="R159" s="1">
        <v>9.1289999999999996</v>
      </c>
      <c r="S159" s="1">
        <v>8.5054999999999996</v>
      </c>
      <c r="T159" s="1">
        <v>4.1159999999999899</v>
      </c>
      <c r="U159" s="1">
        <v>0</v>
      </c>
      <c r="V159" s="1">
        <v>1</v>
      </c>
      <c r="W159" s="1">
        <v>1.0409999999999999</v>
      </c>
      <c r="Y159" s="1">
        <v>2.2010000000000001</v>
      </c>
      <c r="Z159" s="1">
        <v>5.0389999999999997</v>
      </c>
      <c r="AA159" s="1">
        <v>3.7979999999999898</v>
      </c>
      <c r="AB159" s="1">
        <v>5.3489999999999904</v>
      </c>
    </row>
    <row r="160" spans="1:28" ht="16" x14ac:dyDescent="0.2">
      <c r="A160" s="1">
        <v>4</v>
      </c>
      <c r="B160" s="1" t="s">
        <v>246</v>
      </c>
      <c r="C160" s="1" t="s">
        <v>247</v>
      </c>
      <c r="D160" s="1" t="s">
        <v>26</v>
      </c>
      <c r="F160" s="1">
        <v>3.0529999999999902</v>
      </c>
      <c r="G160" s="1">
        <v>3.8239999999999998</v>
      </c>
      <c r="H160" s="1">
        <v>4.9549999999999903</v>
      </c>
      <c r="J160" s="1">
        <v>4.9549999999999903</v>
      </c>
      <c r="K160" s="1">
        <v>7.9714999999999998</v>
      </c>
      <c r="L160" s="1">
        <v>6.1070000000000002</v>
      </c>
      <c r="M160" s="1">
        <v>5.0529999999999999</v>
      </c>
      <c r="N160" s="1">
        <v>8.8366666666666607</v>
      </c>
      <c r="O160" s="1">
        <v>8.3680000000000003</v>
      </c>
      <c r="Q160" s="1">
        <v>8.8366666666666607</v>
      </c>
      <c r="R160" s="1">
        <v>8.3680000000000003</v>
      </c>
      <c r="S160" s="1">
        <v>8.5035000000000007</v>
      </c>
      <c r="T160" s="1">
        <v>7.9073333333333302</v>
      </c>
      <c r="U160" s="1">
        <v>6.18</v>
      </c>
      <c r="V160" s="1">
        <v>7.5972499999999998</v>
      </c>
      <c r="W160" s="1">
        <v>8.3245000000000005</v>
      </c>
      <c r="Y160" s="1">
        <v>4.5229999999999997</v>
      </c>
      <c r="Z160" s="1">
        <v>8.8740000000000006</v>
      </c>
      <c r="AA160" s="1">
        <v>5.3069999999999897</v>
      </c>
      <c r="AB160" s="1">
        <v>6.1185</v>
      </c>
    </row>
    <row r="161" spans="1:28" ht="16" x14ac:dyDescent="0.2">
      <c r="A161" s="1">
        <v>85</v>
      </c>
      <c r="B161" s="1" t="s">
        <v>248</v>
      </c>
      <c r="C161" s="1" t="s">
        <v>247</v>
      </c>
      <c r="D161" s="1" t="s">
        <v>26</v>
      </c>
      <c r="F161" s="1">
        <v>6.2519999999999998</v>
      </c>
      <c r="G161" s="1">
        <v>5.125</v>
      </c>
      <c r="H161" s="1">
        <v>4.9549999999999903</v>
      </c>
      <c r="J161" s="1">
        <v>4.9549999999999903</v>
      </c>
      <c r="K161" s="1">
        <v>3.54049999999999</v>
      </c>
      <c r="L161" s="1">
        <v>3.0169999999999999</v>
      </c>
      <c r="M161" s="1">
        <v>5.0529999999999999</v>
      </c>
      <c r="N161" s="1">
        <v>8.8366666666666607</v>
      </c>
      <c r="O161" s="1">
        <v>9.3424999999999994</v>
      </c>
      <c r="Q161" s="1">
        <v>8.8366666666666607</v>
      </c>
      <c r="R161" s="1">
        <v>9.3424999999999994</v>
      </c>
      <c r="S161" s="1">
        <v>9.1069999999999993</v>
      </c>
      <c r="T161" s="1">
        <v>8.5593333333333295</v>
      </c>
      <c r="U161" s="1">
        <v>5.0804999999999998</v>
      </c>
      <c r="V161" s="1">
        <v>8.8049999999999997</v>
      </c>
      <c r="W161" s="1">
        <v>4.8074999999999903</v>
      </c>
      <c r="Y161" s="1">
        <v>7.65899999999999</v>
      </c>
      <c r="Z161" s="1">
        <v>4.3334999999999999</v>
      </c>
      <c r="AA161" s="1">
        <v>4.6280000000000001</v>
      </c>
      <c r="AB161" s="1">
        <v>6.0317499999999997</v>
      </c>
    </row>
    <row r="162" spans="1:28" ht="16" x14ac:dyDescent="0.2">
      <c r="A162" s="1">
        <v>207</v>
      </c>
      <c r="B162" s="1" t="s">
        <v>249</v>
      </c>
      <c r="C162" s="1" t="s">
        <v>247</v>
      </c>
      <c r="D162" s="1" t="s">
        <v>26</v>
      </c>
      <c r="F162" s="1">
        <v>6.0439999999999996</v>
      </c>
      <c r="G162" s="1">
        <v>4.9340000000000002</v>
      </c>
      <c r="H162" s="1">
        <v>4.9549999999999903</v>
      </c>
      <c r="J162" s="1">
        <v>4.9549999999999903</v>
      </c>
      <c r="K162" s="1">
        <v>4.4305000000000003</v>
      </c>
      <c r="L162" s="1">
        <v>2.8299999999999899</v>
      </c>
      <c r="M162" s="1">
        <v>5.0529999999999999</v>
      </c>
      <c r="N162" s="1">
        <v>8.8366666666666607</v>
      </c>
      <c r="O162" s="1">
        <v>8.2805</v>
      </c>
      <c r="Q162" s="1">
        <v>8.8366666666666607</v>
      </c>
      <c r="R162" s="1">
        <v>8.2805</v>
      </c>
      <c r="S162" s="1">
        <v>8.2680000000000007</v>
      </c>
      <c r="T162" s="1">
        <v>8.3290000000000006</v>
      </c>
      <c r="U162" s="1">
        <v>4.3064999999999998</v>
      </c>
      <c r="V162" s="1">
        <v>7.0867500000000003</v>
      </c>
      <c r="W162" s="1">
        <v>8.1805000000000003</v>
      </c>
      <c r="Y162" s="1">
        <v>5.8525</v>
      </c>
      <c r="Z162" s="1">
        <v>5.4274999999999904</v>
      </c>
      <c r="AA162" s="1">
        <v>4.2809999999999899</v>
      </c>
      <c r="AB162" s="1">
        <v>5.9669999999999996</v>
      </c>
    </row>
    <row r="163" spans="1:28" ht="16" x14ac:dyDescent="0.2">
      <c r="A163" s="1">
        <v>242</v>
      </c>
      <c r="B163" s="1" t="s">
        <v>250</v>
      </c>
      <c r="C163" s="1" t="s">
        <v>247</v>
      </c>
      <c r="D163" s="1" t="s">
        <v>26</v>
      </c>
      <c r="F163" s="1">
        <v>6.0529999999999999</v>
      </c>
      <c r="G163" s="1">
        <v>4.6529999999999996</v>
      </c>
      <c r="H163" s="1">
        <v>4.9549999999999903</v>
      </c>
      <c r="J163" s="1">
        <v>4.9549999999999903</v>
      </c>
      <c r="K163" s="1">
        <v>3.8639999999999999</v>
      </c>
      <c r="L163" s="1">
        <v>1.107</v>
      </c>
      <c r="M163" s="1">
        <v>5.0529999999999999</v>
      </c>
      <c r="N163" s="1">
        <v>8.8366666666666607</v>
      </c>
      <c r="O163" s="1">
        <v>8.5529999999999902</v>
      </c>
      <c r="Q163" s="1">
        <v>8.8366666666666607</v>
      </c>
      <c r="R163" s="1">
        <v>8.5529999999999902</v>
      </c>
      <c r="S163" s="1">
        <v>8.7889999999999997</v>
      </c>
      <c r="T163" s="1">
        <v>8.2139999999999898</v>
      </c>
      <c r="U163" s="1">
        <v>4.3064999999999998</v>
      </c>
      <c r="V163" s="1">
        <v>8.2837499999999995</v>
      </c>
      <c r="W163" s="1">
        <v>8.0005000000000006</v>
      </c>
      <c r="Y163" s="1">
        <v>6.5134999999999996</v>
      </c>
      <c r="Z163" s="1">
        <v>5.0145</v>
      </c>
      <c r="AA163" s="1">
        <v>4.9240000000000004</v>
      </c>
      <c r="AB163" s="1">
        <v>5.0609999999999999</v>
      </c>
    </row>
    <row r="164" spans="1:28" ht="16" x14ac:dyDescent="0.2">
      <c r="A164" s="1">
        <v>251</v>
      </c>
      <c r="B164" s="1" t="s">
        <v>251</v>
      </c>
      <c r="C164" s="1" t="s">
        <v>247</v>
      </c>
      <c r="D164" s="1" t="s">
        <v>26</v>
      </c>
      <c r="F164" s="1">
        <v>5.4664999999999999</v>
      </c>
      <c r="G164" s="1">
        <v>4.6040000000000001</v>
      </c>
      <c r="H164" s="1">
        <v>4.9549999999999903</v>
      </c>
      <c r="J164" s="1">
        <v>4.9549999999999903</v>
      </c>
      <c r="K164" s="1">
        <v>3.915</v>
      </c>
      <c r="L164" s="1">
        <v>1.929</v>
      </c>
      <c r="M164" s="1">
        <v>5.0529999999999999</v>
      </c>
      <c r="N164" s="1">
        <v>8.8366666666666607</v>
      </c>
      <c r="O164" s="1">
        <v>8.5655000000000001</v>
      </c>
      <c r="Q164" s="1">
        <v>8.8366666666666607</v>
      </c>
      <c r="R164" s="1">
        <v>8.5655000000000001</v>
      </c>
      <c r="S164" s="1">
        <v>8.6310000000000002</v>
      </c>
      <c r="T164" s="1">
        <v>8.3940000000000001</v>
      </c>
      <c r="U164" s="1">
        <v>5.5914999999999999</v>
      </c>
      <c r="V164" s="1">
        <v>8.0954999999999995</v>
      </c>
      <c r="W164" s="1">
        <v>8.0724999999999998</v>
      </c>
      <c r="Y164" s="1">
        <v>6.6760000000000002</v>
      </c>
      <c r="Z164" s="1">
        <v>5.3730000000000002</v>
      </c>
      <c r="AA164" s="1">
        <v>4.6965000000000003</v>
      </c>
      <c r="AB164" s="1">
        <v>5.9902499999999996</v>
      </c>
    </row>
    <row r="165" spans="1:28" ht="16" x14ac:dyDescent="0.2">
      <c r="A165" s="1">
        <v>129</v>
      </c>
      <c r="B165" s="1" t="s">
        <v>252</v>
      </c>
      <c r="C165" s="1" t="s">
        <v>253</v>
      </c>
      <c r="D165" s="1" t="s">
        <v>6</v>
      </c>
      <c r="F165" s="1">
        <v>7.0009999999999897</v>
      </c>
      <c r="G165" s="1">
        <v>5.7589999999999897</v>
      </c>
      <c r="H165" s="1">
        <v>4.7720000000000002</v>
      </c>
      <c r="J165" s="1">
        <v>4.7720000000000002</v>
      </c>
      <c r="K165" s="1">
        <v>7.5149999999999997</v>
      </c>
      <c r="L165" s="1">
        <v>2.0219999999999998</v>
      </c>
      <c r="M165" s="1">
        <v>6.5145</v>
      </c>
      <c r="N165" s="1">
        <v>8.6709999999999994</v>
      </c>
      <c r="O165" s="1">
        <v>7.2750000000000004</v>
      </c>
      <c r="Q165" s="1">
        <v>8.6709999999999994</v>
      </c>
      <c r="R165" s="1">
        <v>7.2750000000000004</v>
      </c>
      <c r="S165" s="1">
        <v>2.3849999999999998</v>
      </c>
      <c r="T165" s="1">
        <v>5.63533333333333</v>
      </c>
      <c r="U165" s="1">
        <v>3.6244999999999998</v>
      </c>
      <c r="V165" s="1">
        <v>5.5564999999999998</v>
      </c>
      <c r="W165" s="1">
        <v>3.5285000000000002</v>
      </c>
      <c r="Y165" s="1">
        <v>5.3034999999999997</v>
      </c>
      <c r="Z165" s="1">
        <v>6.3685</v>
      </c>
      <c r="AA165" s="1">
        <v>5.3849999999999998</v>
      </c>
      <c r="AB165" s="1">
        <v>4.8074999999999903</v>
      </c>
    </row>
    <row r="166" spans="1:28" ht="16" x14ac:dyDescent="0.2">
      <c r="A166" s="1">
        <v>2</v>
      </c>
      <c r="B166" s="1" t="s">
        <v>254</v>
      </c>
      <c r="C166" s="1" t="s">
        <v>255</v>
      </c>
      <c r="D166" s="1" t="s">
        <v>6</v>
      </c>
      <c r="F166" s="1">
        <v>7.2619999999999996</v>
      </c>
      <c r="G166" s="1">
        <v>6.0590000000000002</v>
      </c>
      <c r="H166" s="1">
        <v>4.3460000000000001</v>
      </c>
      <c r="J166" s="1">
        <v>4.3460000000000001</v>
      </c>
      <c r="K166" s="1">
        <v>3.7719999999999998</v>
      </c>
      <c r="L166" s="1">
        <v>1.4929999999999899</v>
      </c>
      <c r="M166" s="1">
        <v>6.5145</v>
      </c>
      <c r="N166" s="1">
        <v>8.6709999999999994</v>
      </c>
      <c r="O166" s="1">
        <v>7.0284999999999904</v>
      </c>
      <c r="Q166" s="1">
        <v>8.6709999999999994</v>
      </c>
      <c r="R166" s="1">
        <v>7.0284999999999904</v>
      </c>
      <c r="S166" s="1">
        <v>1.3434999999999999</v>
      </c>
      <c r="T166" s="1">
        <v>6.4299999999999899</v>
      </c>
      <c r="U166" s="1">
        <v>4.1519999999999904</v>
      </c>
      <c r="V166" s="1">
        <v>7.3194999999999997</v>
      </c>
      <c r="W166" s="1">
        <v>1.4555</v>
      </c>
      <c r="Y166" s="1">
        <v>5.3959999999999999</v>
      </c>
      <c r="Z166" s="1">
        <v>4.8899999999999997</v>
      </c>
      <c r="AA166" s="1">
        <v>3.5154999999999998</v>
      </c>
      <c r="AB166" s="1">
        <v>5.0557499999999997</v>
      </c>
    </row>
    <row r="167" spans="1:28" ht="16" x14ac:dyDescent="0.2">
      <c r="A167" s="1">
        <v>47</v>
      </c>
      <c r="B167" s="1" t="s">
        <v>256</v>
      </c>
      <c r="C167" s="1" t="s">
        <v>257</v>
      </c>
      <c r="D167" s="1" t="s">
        <v>6</v>
      </c>
      <c r="F167" s="1">
        <v>7.0765000000000002</v>
      </c>
      <c r="G167" s="1">
        <v>5.2279999999999998</v>
      </c>
      <c r="H167" s="1">
        <v>3.9205000000000001</v>
      </c>
      <c r="J167" s="1">
        <v>3.9205000000000001</v>
      </c>
      <c r="K167" s="1">
        <v>3.9470000000000001</v>
      </c>
      <c r="L167" s="1">
        <v>2.7149999999999999</v>
      </c>
      <c r="M167" s="1">
        <v>6.5145</v>
      </c>
      <c r="N167" s="1">
        <v>8.6709999999999994</v>
      </c>
      <c r="O167" s="1">
        <v>7.4039999999999999</v>
      </c>
      <c r="Q167" s="1">
        <v>8.6709999999999994</v>
      </c>
      <c r="R167" s="1">
        <v>7.4039999999999999</v>
      </c>
      <c r="S167" s="1">
        <v>7.1884999999999897</v>
      </c>
      <c r="T167" s="1">
        <v>6.45733333333333</v>
      </c>
      <c r="U167" s="1">
        <v>4.2119999999999997</v>
      </c>
      <c r="V167" s="1">
        <v>8.3292499999999894</v>
      </c>
      <c r="W167" s="1">
        <v>1.5109999999999999</v>
      </c>
      <c r="Y167" s="1">
        <v>6.7579999999999902</v>
      </c>
      <c r="Z167" s="1">
        <v>4.32</v>
      </c>
      <c r="AA167" s="1">
        <v>4.6464999999999996</v>
      </c>
      <c r="AB167" s="1">
        <v>2.1539999999999999</v>
      </c>
    </row>
    <row r="168" spans="1:28" ht="16" x14ac:dyDescent="0.2">
      <c r="A168" s="1">
        <v>171</v>
      </c>
      <c r="B168" s="1" t="s">
        <v>258</v>
      </c>
      <c r="C168" s="1" t="s">
        <v>257</v>
      </c>
      <c r="D168" s="1" t="s">
        <v>6</v>
      </c>
      <c r="F168" s="1">
        <v>1</v>
      </c>
      <c r="G168" s="1">
        <v>2.3420000000000001</v>
      </c>
      <c r="H168" s="1">
        <v>3.9205000000000001</v>
      </c>
      <c r="J168" s="1">
        <v>3.9205000000000001</v>
      </c>
      <c r="K168" s="1">
        <v>10</v>
      </c>
      <c r="L168" s="1">
        <v>10</v>
      </c>
      <c r="M168" s="1">
        <v>6.5145</v>
      </c>
      <c r="N168" s="1">
        <v>8.6709999999999994</v>
      </c>
      <c r="O168" s="1">
        <v>6.7125000000000004</v>
      </c>
      <c r="Q168" s="1">
        <v>8.6709999999999994</v>
      </c>
      <c r="R168" s="1">
        <v>6.7125000000000004</v>
      </c>
      <c r="S168" s="1">
        <v>7.0220000000000002</v>
      </c>
      <c r="T168" s="1">
        <v>6.1053333333333297</v>
      </c>
      <c r="U168" s="1">
        <v>8.0935000000000006</v>
      </c>
      <c r="V168" s="1">
        <v>5.2337499999999899</v>
      </c>
      <c r="W168" s="1">
        <v>6.6749999999999998</v>
      </c>
      <c r="Y168" s="1">
        <v>7.0984999999999996</v>
      </c>
      <c r="Z168" s="1">
        <v>10</v>
      </c>
      <c r="AA168" s="1">
        <v>5.7474999999999996</v>
      </c>
      <c r="AB168" s="1">
        <v>5.5192499999999898</v>
      </c>
    </row>
    <row r="169" spans="1:28" ht="16" x14ac:dyDescent="0.2">
      <c r="A169" s="1">
        <v>205</v>
      </c>
      <c r="B169" s="1" t="s">
        <v>259</v>
      </c>
      <c r="C169" s="1" t="s">
        <v>257</v>
      </c>
      <c r="D169" s="1" t="s">
        <v>6</v>
      </c>
      <c r="F169" s="1">
        <v>6.7270000000000003</v>
      </c>
      <c r="G169" s="1">
        <v>5.4879999999999898</v>
      </c>
      <c r="H169" s="1">
        <v>3.9205000000000001</v>
      </c>
      <c r="J169" s="1">
        <v>3.9205000000000001</v>
      </c>
      <c r="K169" s="1">
        <v>4.3354999999999997</v>
      </c>
      <c r="L169" s="1">
        <v>1.5049999999999999</v>
      </c>
      <c r="M169" s="1">
        <v>6.5145</v>
      </c>
      <c r="N169" s="1">
        <v>8.6709999999999994</v>
      </c>
      <c r="O169" s="1">
        <v>5.9014999999999898</v>
      </c>
      <c r="Q169" s="1">
        <v>8.6709999999999994</v>
      </c>
      <c r="R169" s="1">
        <v>5.9014999999999898</v>
      </c>
      <c r="S169" s="1">
        <v>5.899</v>
      </c>
      <c r="T169" s="1">
        <v>6.1059999999999999</v>
      </c>
      <c r="U169" s="1">
        <v>4.4949999999999903</v>
      </c>
      <c r="V169" s="1">
        <v>5.9352499999999999</v>
      </c>
      <c r="W169" s="1">
        <v>1.3979999999999999</v>
      </c>
      <c r="Y169" s="1">
        <v>5.5510000000000002</v>
      </c>
      <c r="Z169" s="1">
        <v>5.335</v>
      </c>
      <c r="AA169" s="1">
        <v>4.4039999999999999</v>
      </c>
      <c r="AB169" s="1">
        <v>1.9077500000000001</v>
      </c>
    </row>
    <row r="170" spans="1:28" ht="16" x14ac:dyDescent="0.2">
      <c r="A170" s="1">
        <v>12</v>
      </c>
      <c r="B170" s="1" t="s">
        <v>260</v>
      </c>
      <c r="C170" s="1" t="s">
        <v>261</v>
      </c>
      <c r="D170" s="1" t="s">
        <v>19</v>
      </c>
      <c r="F170" s="1">
        <v>4.72</v>
      </c>
      <c r="G170" s="1">
        <v>4.47</v>
      </c>
      <c r="H170" s="1">
        <v>5.9314999999999998</v>
      </c>
      <c r="J170" s="1">
        <v>5.9314999999999998</v>
      </c>
      <c r="K170" s="1">
        <v>4.5880000000000001</v>
      </c>
      <c r="L170" s="1">
        <v>2.79</v>
      </c>
      <c r="M170" s="1">
        <v>5.5054999999999996</v>
      </c>
      <c r="N170" s="1">
        <v>10</v>
      </c>
      <c r="O170" s="1">
        <v>7.4020000000000001</v>
      </c>
      <c r="Q170" s="1">
        <v>10</v>
      </c>
      <c r="R170" s="1">
        <v>7.4020000000000001</v>
      </c>
      <c r="S170" s="1">
        <v>7.0214999999999996</v>
      </c>
      <c r="T170" s="1">
        <v>8.1626666666666594</v>
      </c>
      <c r="U170" s="1">
        <v>5.0465</v>
      </c>
      <c r="V170" s="1">
        <v>8.2725000000000009</v>
      </c>
      <c r="W170" s="1">
        <v>1.3045</v>
      </c>
      <c r="Y170" s="1">
        <v>6.85</v>
      </c>
      <c r="Z170" s="1">
        <v>4.3959999999999901</v>
      </c>
      <c r="AA170" s="1">
        <v>5.8620000000000001</v>
      </c>
      <c r="AB170" s="1">
        <v>4.8449999999999998</v>
      </c>
    </row>
    <row r="171" spans="1:28" ht="16" x14ac:dyDescent="0.2">
      <c r="A171" s="1">
        <v>62</v>
      </c>
      <c r="B171" s="1" t="s">
        <v>262</v>
      </c>
      <c r="C171" s="1" t="s">
        <v>261</v>
      </c>
      <c r="D171" s="1" t="s">
        <v>19</v>
      </c>
      <c r="F171" s="1">
        <v>6.9340000000000002</v>
      </c>
      <c r="G171" s="1">
        <v>5.0960000000000001</v>
      </c>
      <c r="H171" s="1">
        <v>5.9314999999999998</v>
      </c>
      <c r="J171" s="1">
        <v>5.9314999999999998</v>
      </c>
      <c r="K171" s="1">
        <v>1.5355000000000001</v>
      </c>
      <c r="L171" s="1">
        <v>0</v>
      </c>
      <c r="M171" s="1">
        <v>5.5054999999999996</v>
      </c>
      <c r="N171" s="1">
        <v>10</v>
      </c>
      <c r="O171" s="1">
        <v>8.4034999999999993</v>
      </c>
      <c r="Q171" s="1">
        <v>10</v>
      </c>
      <c r="R171" s="1">
        <v>8.4034999999999993</v>
      </c>
      <c r="S171" s="1">
        <v>7.5849999999999902</v>
      </c>
      <c r="T171" s="1">
        <v>8.3123333333333296</v>
      </c>
      <c r="U171" s="1">
        <v>4.7560000000000002</v>
      </c>
      <c r="V171" s="1">
        <v>9.2564999999999902</v>
      </c>
      <c r="W171" s="1">
        <v>0.83349999999999902</v>
      </c>
      <c r="Y171" s="1">
        <v>5.9219999999999997</v>
      </c>
      <c r="Z171" s="1">
        <v>3.2235</v>
      </c>
      <c r="AA171" s="1">
        <v>6.2690000000000001</v>
      </c>
      <c r="AB171" s="1">
        <v>5.5177500000000004</v>
      </c>
    </row>
    <row r="172" spans="1:28" ht="16" x14ac:dyDescent="0.2">
      <c r="A172" s="1">
        <v>260</v>
      </c>
      <c r="B172" s="1" t="s">
        <v>263</v>
      </c>
      <c r="C172" s="1" t="s">
        <v>261</v>
      </c>
      <c r="D172" s="1" t="s">
        <v>19</v>
      </c>
      <c r="F172" s="1">
        <v>5.1344999999999903</v>
      </c>
      <c r="G172" s="1">
        <v>5.1609999999999996</v>
      </c>
      <c r="H172" s="1">
        <v>5.9314999999999998</v>
      </c>
      <c r="J172" s="1">
        <v>5.9314999999999998</v>
      </c>
      <c r="K172" s="1">
        <v>2.4714999999999998</v>
      </c>
      <c r="L172" s="1">
        <v>1.7529999999999999</v>
      </c>
      <c r="M172" s="1">
        <v>5.5054999999999996</v>
      </c>
      <c r="N172" s="1">
        <v>10</v>
      </c>
      <c r="O172" s="1">
        <v>8.1159999999999997</v>
      </c>
      <c r="Q172" s="1">
        <v>10</v>
      </c>
      <c r="R172" s="1">
        <v>8.1159999999999997</v>
      </c>
      <c r="S172" s="1">
        <v>8.2230000000000008</v>
      </c>
      <c r="T172" s="1">
        <v>8.0783333333333296</v>
      </c>
      <c r="U172" s="1">
        <v>4.7560000000000002</v>
      </c>
      <c r="V172" s="1">
        <v>9.6092499999999994</v>
      </c>
      <c r="W172" s="1">
        <v>0.85250000000000004</v>
      </c>
      <c r="Y172" s="1">
        <v>5.1745000000000001</v>
      </c>
      <c r="Z172" s="1">
        <v>4.5990000000000002</v>
      </c>
      <c r="AA172" s="1">
        <v>6.3970000000000002</v>
      </c>
      <c r="AB172" s="1">
        <v>6.0397499999999997</v>
      </c>
    </row>
    <row r="173" spans="1:28" ht="16" x14ac:dyDescent="0.2">
      <c r="A173" s="1">
        <v>148</v>
      </c>
      <c r="B173" s="1" t="s">
        <v>264</v>
      </c>
      <c r="C173" s="1" t="s">
        <v>265</v>
      </c>
      <c r="D173" s="1" t="s">
        <v>6</v>
      </c>
      <c r="F173" s="1">
        <v>4.7854999999999999</v>
      </c>
      <c r="G173" s="1">
        <v>0</v>
      </c>
      <c r="H173" s="1">
        <v>3.25449999999999</v>
      </c>
      <c r="J173" s="1">
        <v>3.25449999999999</v>
      </c>
      <c r="K173" s="1">
        <v>1.8660000000000001</v>
      </c>
      <c r="L173" s="1">
        <v>0</v>
      </c>
      <c r="M173" s="1">
        <v>3.9394999999999998</v>
      </c>
      <c r="N173" s="1">
        <v>4.6003333333333298</v>
      </c>
      <c r="O173" s="1">
        <v>9.2389999999999901</v>
      </c>
      <c r="Q173" s="1">
        <v>4.6003333333333298</v>
      </c>
      <c r="R173" s="1">
        <v>9.2389999999999901</v>
      </c>
      <c r="S173" s="1">
        <v>7.7744999999999997</v>
      </c>
      <c r="T173" s="1">
        <v>6.40366666666666</v>
      </c>
      <c r="U173" s="1">
        <v>0</v>
      </c>
      <c r="V173" s="1">
        <v>3.3405</v>
      </c>
      <c r="W173" s="1">
        <v>0.60750000000000004</v>
      </c>
      <c r="Y173" s="1">
        <v>1.177</v>
      </c>
      <c r="Z173" s="1">
        <v>1.837</v>
      </c>
      <c r="AA173" s="1">
        <v>1.4335</v>
      </c>
      <c r="AB173" s="1">
        <v>0</v>
      </c>
    </row>
    <row r="174" spans="1:28" ht="16" x14ac:dyDescent="0.2">
      <c r="A174" s="1">
        <v>126</v>
      </c>
      <c r="B174" s="1" t="s">
        <v>266</v>
      </c>
      <c r="C174" s="1" t="s">
        <v>267</v>
      </c>
      <c r="D174" s="1" t="s">
        <v>103</v>
      </c>
      <c r="F174" s="1">
        <v>7.7670000000000003</v>
      </c>
      <c r="G174" s="1">
        <v>9.0980000000000008</v>
      </c>
      <c r="H174" s="1">
        <v>6.2154999999999996</v>
      </c>
      <c r="J174" s="1">
        <v>6.2154999999999996</v>
      </c>
      <c r="K174" s="1">
        <v>6.4335000000000004</v>
      </c>
      <c r="L174" s="1">
        <v>2.5099999999999998</v>
      </c>
      <c r="M174" s="1">
        <v>5.0609999999999999</v>
      </c>
      <c r="N174" s="1">
        <v>3.2556666666666598</v>
      </c>
      <c r="O174" s="1">
        <v>1.4059999999999999</v>
      </c>
      <c r="Q174" s="1">
        <v>3.2556666666666598</v>
      </c>
      <c r="R174" s="1">
        <v>1.4059999999999999</v>
      </c>
      <c r="S174" s="1">
        <v>5.9994999999999896</v>
      </c>
      <c r="T174" s="1">
        <v>2.8623333333333298</v>
      </c>
      <c r="U174" s="1">
        <v>0</v>
      </c>
      <c r="V174" s="1">
        <v>1.9072499999999999</v>
      </c>
      <c r="W174" s="1">
        <v>1.74799999999999</v>
      </c>
      <c r="Y174" s="1">
        <v>1.6339999999999999</v>
      </c>
      <c r="Z174" s="1">
        <v>1.3585</v>
      </c>
      <c r="AA174" s="1">
        <v>3.8245</v>
      </c>
      <c r="AB174" s="1">
        <v>3.5647500000000001</v>
      </c>
    </row>
    <row r="175" spans="1:28" ht="32" x14ac:dyDescent="0.2">
      <c r="A175" s="1">
        <v>8</v>
      </c>
      <c r="B175" s="1" t="s">
        <v>268</v>
      </c>
      <c r="C175" s="1" t="s">
        <v>269</v>
      </c>
      <c r="D175" s="1" t="s">
        <v>6</v>
      </c>
      <c r="F175" s="1">
        <v>5.8559999999999901</v>
      </c>
      <c r="G175" s="1">
        <v>5.3109999999999999</v>
      </c>
      <c r="H175" s="1">
        <v>4.0620000000000003</v>
      </c>
      <c r="J175" s="1">
        <v>4.0620000000000003</v>
      </c>
      <c r="K175" s="1">
        <v>3.54049999999999</v>
      </c>
      <c r="L175" s="1">
        <v>0</v>
      </c>
      <c r="M175" s="1">
        <v>6.5145</v>
      </c>
      <c r="N175" s="1">
        <v>8.6709999999999994</v>
      </c>
      <c r="O175" s="1">
        <v>7.7305000000000001</v>
      </c>
      <c r="Q175" s="1">
        <v>8.6709999999999994</v>
      </c>
      <c r="R175" s="1">
        <v>7.7305000000000001</v>
      </c>
      <c r="S175" s="1">
        <v>5.8525</v>
      </c>
      <c r="T175" s="1">
        <v>6.7253333333333298</v>
      </c>
      <c r="U175" s="1">
        <v>3.6244999999999998</v>
      </c>
      <c r="V175" s="1">
        <v>8.4932499999999997</v>
      </c>
      <c r="W175" s="1">
        <v>1.2095</v>
      </c>
      <c r="Y175" s="1">
        <v>4.7874999999999996</v>
      </c>
      <c r="Z175" s="1">
        <v>5.0629999999999997</v>
      </c>
      <c r="AA175" s="1">
        <v>2.2654999999999998</v>
      </c>
      <c r="AB175" s="1">
        <v>1.3580000000000001</v>
      </c>
    </row>
    <row r="176" spans="1:28" ht="32" x14ac:dyDescent="0.2">
      <c r="A176" s="1">
        <v>56</v>
      </c>
      <c r="B176" s="1" t="s">
        <v>270</v>
      </c>
      <c r="C176" s="1" t="s">
        <v>269</v>
      </c>
      <c r="D176" s="1" t="s">
        <v>6</v>
      </c>
      <c r="F176" s="1">
        <v>5.5490000000000004</v>
      </c>
      <c r="G176" s="1">
        <v>4.9870000000000001</v>
      </c>
      <c r="H176" s="1">
        <v>4.0620000000000003</v>
      </c>
      <c r="J176" s="1">
        <v>4.0620000000000003</v>
      </c>
      <c r="K176" s="1">
        <v>6.2479999999999896</v>
      </c>
      <c r="L176" s="1">
        <v>2.8780000000000001</v>
      </c>
      <c r="M176" s="1">
        <v>6.5145</v>
      </c>
      <c r="N176" s="1">
        <v>8.6709999999999994</v>
      </c>
      <c r="O176" s="1">
        <v>6.7895000000000003</v>
      </c>
      <c r="Q176" s="1">
        <v>8.6709999999999994</v>
      </c>
      <c r="R176" s="1">
        <v>6.7895000000000003</v>
      </c>
      <c r="S176" s="1">
        <v>5.3474999999999904</v>
      </c>
      <c r="T176" s="1">
        <v>6.4323333333333297</v>
      </c>
      <c r="U176" s="1">
        <v>3.6244999999999998</v>
      </c>
      <c r="V176" s="1">
        <v>8.0092499999999909</v>
      </c>
      <c r="W176" s="1">
        <v>3.6789999999999998</v>
      </c>
      <c r="Y176" s="1">
        <v>6.3869999999999996</v>
      </c>
      <c r="Z176" s="1">
        <v>5.6059999999999999</v>
      </c>
      <c r="AA176" s="1">
        <v>1.3114999999999899</v>
      </c>
      <c r="AB176" s="1">
        <v>4.1340000000000003</v>
      </c>
    </row>
    <row r="177" spans="1:28" ht="32" x14ac:dyDescent="0.2">
      <c r="A177" s="1">
        <v>199</v>
      </c>
      <c r="B177" s="1" t="s">
        <v>271</v>
      </c>
      <c r="C177" s="1" t="s">
        <v>269</v>
      </c>
      <c r="D177" s="1" t="s">
        <v>6</v>
      </c>
      <c r="F177" s="1">
        <v>6.1284999999999998</v>
      </c>
      <c r="G177" s="1">
        <v>5.61</v>
      </c>
      <c r="H177" s="1">
        <v>4.0620000000000003</v>
      </c>
      <c r="J177" s="1">
        <v>4.0620000000000003</v>
      </c>
      <c r="K177" s="1">
        <v>5.4969999999999999</v>
      </c>
      <c r="L177" s="1">
        <v>5.157</v>
      </c>
      <c r="M177" s="1">
        <v>6.5145</v>
      </c>
      <c r="N177" s="1">
        <v>8.6709999999999994</v>
      </c>
      <c r="O177" s="1">
        <v>7.5620000000000003</v>
      </c>
      <c r="Q177" s="1">
        <v>8.6709999999999994</v>
      </c>
      <c r="R177" s="1">
        <v>7.5620000000000003</v>
      </c>
      <c r="S177" s="1">
        <v>6.5225</v>
      </c>
      <c r="T177" s="1">
        <v>6.6773333333333298</v>
      </c>
      <c r="U177" s="1">
        <v>7.1165000000000003</v>
      </c>
      <c r="V177" s="1">
        <v>8.5837500000000002</v>
      </c>
      <c r="W177" s="1">
        <v>1.7569999999999999</v>
      </c>
      <c r="Y177" s="1">
        <v>7.9515000000000002</v>
      </c>
      <c r="Z177" s="1">
        <v>6.6129999999999898</v>
      </c>
      <c r="AA177" s="1">
        <v>3.3904999999999998</v>
      </c>
      <c r="AB177" s="1">
        <v>4.7842500000000001</v>
      </c>
    </row>
    <row r="178" spans="1:28" ht="16" x14ac:dyDescent="0.2">
      <c r="A178" s="1">
        <v>25</v>
      </c>
      <c r="B178" s="1" t="s">
        <v>272</v>
      </c>
      <c r="C178" s="1" t="s">
        <v>273</v>
      </c>
      <c r="D178" s="1" t="s">
        <v>26</v>
      </c>
      <c r="F178" s="1">
        <v>5.22949999999999</v>
      </c>
      <c r="G178" s="1">
        <v>1.8049999999999999</v>
      </c>
      <c r="H178" s="1">
        <v>4.7519999999999998</v>
      </c>
      <c r="J178" s="1">
        <v>4.7519999999999998</v>
      </c>
      <c r="K178" s="1">
        <v>2.2069999999999999</v>
      </c>
      <c r="L178" s="1">
        <v>1</v>
      </c>
      <c r="M178" s="1">
        <v>7.0735000000000001</v>
      </c>
      <c r="N178" s="1">
        <v>9.63533333333333</v>
      </c>
      <c r="O178" s="1">
        <v>7.6144999999999996</v>
      </c>
      <c r="Q178" s="1">
        <v>9.63533333333333</v>
      </c>
      <c r="R178" s="1">
        <v>7.6144999999999996</v>
      </c>
      <c r="S178" s="1">
        <v>7.7074999999999996</v>
      </c>
      <c r="T178" s="1">
        <v>7.6466666666666603</v>
      </c>
      <c r="U178" s="1">
        <v>4.8395000000000001</v>
      </c>
      <c r="V178" s="1">
        <v>7.53925</v>
      </c>
      <c r="W178" s="1">
        <v>3.2425000000000002</v>
      </c>
      <c r="Y178" s="1">
        <v>6.5369999999999999</v>
      </c>
      <c r="Z178" s="1">
        <v>4.4874999999999998</v>
      </c>
      <c r="AA178" s="1">
        <v>4.3134999999999897</v>
      </c>
      <c r="AB178" s="1">
        <v>5.8875000000000002</v>
      </c>
    </row>
    <row r="179" spans="1:28" ht="16" x14ac:dyDescent="0.2">
      <c r="A179" s="1">
        <v>178</v>
      </c>
      <c r="B179" s="1" t="s">
        <v>274</v>
      </c>
      <c r="C179" s="1" t="s">
        <v>273</v>
      </c>
      <c r="D179" s="1" t="s">
        <v>26</v>
      </c>
      <c r="F179" s="1">
        <v>3.7679999999999998</v>
      </c>
      <c r="G179" s="1">
        <v>1.038</v>
      </c>
      <c r="H179" s="1">
        <v>4.7519999999999998</v>
      </c>
      <c r="J179" s="1">
        <v>4.7519999999999998</v>
      </c>
      <c r="K179" s="1">
        <v>5.2089999999999996</v>
      </c>
      <c r="L179" s="1">
        <v>3.8690000000000002</v>
      </c>
      <c r="M179" s="1">
        <v>7.0735000000000001</v>
      </c>
      <c r="N179" s="1">
        <v>9.63533333333333</v>
      </c>
      <c r="O179" s="1">
        <v>7.0299999999999896</v>
      </c>
      <c r="Q179" s="1">
        <v>9.63533333333333</v>
      </c>
      <c r="R179" s="1">
        <v>7.0299999999999896</v>
      </c>
      <c r="S179" s="1">
        <v>7.1064999999999996</v>
      </c>
      <c r="T179" s="1">
        <v>7.9099999999999904</v>
      </c>
      <c r="U179" s="1">
        <v>5.1444999999999999</v>
      </c>
      <c r="V179" s="1">
        <v>8.4242500000000007</v>
      </c>
      <c r="W179" s="1">
        <v>5.1769999999999996</v>
      </c>
      <c r="Y179" s="1">
        <v>7.9705000000000004</v>
      </c>
      <c r="Z179" s="1">
        <v>5.899</v>
      </c>
      <c r="AA179" s="1">
        <v>6.1894999999999998</v>
      </c>
      <c r="AB179" s="1">
        <v>5.7752499999999998</v>
      </c>
    </row>
    <row r="180" spans="1:28" ht="16" x14ac:dyDescent="0.2">
      <c r="A180" s="1">
        <v>63</v>
      </c>
      <c r="B180" s="1" t="s">
        <v>275</v>
      </c>
      <c r="C180" s="1" t="s">
        <v>276</v>
      </c>
      <c r="D180" s="1" t="s">
        <v>6</v>
      </c>
      <c r="F180" s="1">
        <v>6.6775000000000002</v>
      </c>
      <c r="G180" s="1">
        <v>6.1079999999999997</v>
      </c>
      <c r="H180" s="1">
        <v>3.9205000000000001</v>
      </c>
      <c r="J180" s="1">
        <v>3.9205000000000001</v>
      </c>
      <c r="K180" s="1">
        <v>6.0994999999999999</v>
      </c>
      <c r="L180" s="1">
        <v>2.7089999999999899</v>
      </c>
      <c r="M180" s="1">
        <v>6.5145</v>
      </c>
      <c r="N180" s="1">
        <v>8.6709999999999994</v>
      </c>
      <c r="O180" s="1">
        <v>5.2989999999999897</v>
      </c>
      <c r="Q180" s="1">
        <v>8.6709999999999994</v>
      </c>
      <c r="R180" s="1">
        <v>5.2989999999999897</v>
      </c>
      <c r="S180" s="1">
        <v>4.9749999999999996</v>
      </c>
      <c r="T180" s="1">
        <v>6.3459999999999903</v>
      </c>
      <c r="U180" s="1">
        <v>4.2805</v>
      </c>
      <c r="V180" s="1">
        <v>7.1094999999999997</v>
      </c>
      <c r="W180" s="1">
        <v>1.9264999999999901</v>
      </c>
      <c r="Y180" s="1">
        <v>6.5119999999999996</v>
      </c>
      <c r="Z180" s="1">
        <v>6.1180000000000003</v>
      </c>
      <c r="AA180" s="1">
        <v>3.6074999999999999</v>
      </c>
      <c r="AB180" s="1">
        <v>4.7435</v>
      </c>
    </row>
    <row r="181" spans="1:28" ht="16" x14ac:dyDescent="0.2">
      <c r="A181" s="1">
        <v>64</v>
      </c>
      <c r="B181" s="1" t="s">
        <v>277</v>
      </c>
      <c r="C181" s="1" t="s">
        <v>276</v>
      </c>
      <c r="D181" s="1" t="s">
        <v>6</v>
      </c>
      <c r="F181" s="1">
        <v>7.1559999999999899</v>
      </c>
      <c r="G181" s="1">
        <v>5.5949999999999998</v>
      </c>
      <c r="H181" s="1">
        <v>3.9205000000000001</v>
      </c>
      <c r="J181" s="1">
        <v>3.9205000000000001</v>
      </c>
      <c r="K181" s="1">
        <v>4.9610000000000003</v>
      </c>
      <c r="L181" s="1">
        <v>3.6459999999999999</v>
      </c>
      <c r="M181" s="1">
        <v>6.5145</v>
      </c>
      <c r="N181" s="1">
        <v>8.6709999999999994</v>
      </c>
      <c r="O181" s="1">
        <v>4.7754999999999903</v>
      </c>
      <c r="Q181" s="1">
        <v>8.6709999999999994</v>
      </c>
      <c r="R181" s="1">
        <v>4.7754999999999903</v>
      </c>
      <c r="S181" s="1">
        <v>3.6369999999999898</v>
      </c>
      <c r="T181" s="1">
        <v>6.7556666666666603</v>
      </c>
      <c r="U181" s="1">
        <v>4.6185</v>
      </c>
      <c r="V181" s="1">
        <v>7.2504999999999997</v>
      </c>
      <c r="W181" s="1">
        <v>2.0775000000000001</v>
      </c>
      <c r="Y181" s="1">
        <v>5.4764999999999997</v>
      </c>
      <c r="Z181" s="1">
        <v>5.6965000000000003</v>
      </c>
      <c r="AA181" s="1">
        <v>4.6689999999999996</v>
      </c>
      <c r="AB181" s="1">
        <v>4.4212499999999997</v>
      </c>
    </row>
    <row r="182" spans="1:28" ht="16" x14ac:dyDescent="0.2">
      <c r="A182" s="1">
        <v>68</v>
      </c>
      <c r="B182" s="1" t="s">
        <v>278</v>
      </c>
      <c r="C182" s="1" t="s">
        <v>276</v>
      </c>
      <c r="D182" s="1" t="s">
        <v>6</v>
      </c>
      <c r="F182" s="1">
        <v>6.2895000000000003</v>
      </c>
      <c r="G182" s="1">
        <v>5.7460000000000004</v>
      </c>
      <c r="H182" s="1">
        <v>3.9205000000000001</v>
      </c>
      <c r="J182" s="1">
        <v>3.9205000000000001</v>
      </c>
      <c r="K182" s="1">
        <v>5.8784999999999998</v>
      </c>
      <c r="L182" s="1">
        <v>4.9729999999999999</v>
      </c>
      <c r="M182" s="1">
        <v>6.5145</v>
      </c>
      <c r="N182" s="1">
        <v>8.6709999999999994</v>
      </c>
      <c r="O182" s="1">
        <v>5.9215</v>
      </c>
      <c r="Q182" s="1">
        <v>8.6709999999999994</v>
      </c>
      <c r="R182" s="1">
        <v>5.9215</v>
      </c>
      <c r="S182" s="1">
        <v>5.2815000000000003</v>
      </c>
      <c r="T182" s="1">
        <v>6.4059999999999997</v>
      </c>
      <c r="U182" s="1">
        <v>5.0474999999999897</v>
      </c>
      <c r="V182" s="1">
        <v>8.1660000000000004</v>
      </c>
      <c r="W182" s="1">
        <v>1.663</v>
      </c>
      <c r="Y182" s="1">
        <v>4.5534999999999997</v>
      </c>
      <c r="Z182" s="1">
        <v>6.4659999999999904</v>
      </c>
      <c r="AA182" s="1">
        <v>4.5449999999999902</v>
      </c>
      <c r="AB182" s="1">
        <v>5.0267499999999998</v>
      </c>
    </row>
    <row r="183" spans="1:28" ht="32" x14ac:dyDescent="0.2">
      <c r="A183" s="1">
        <v>174</v>
      </c>
      <c r="B183" s="1" t="s">
        <v>279</v>
      </c>
      <c r="C183" s="1" t="s">
        <v>280</v>
      </c>
      <c r="D183" s="1" t="s">
        <v>6</v>
      </c>
      <c r="F183" s="1">
        <v>7.2610000000000001</v>
      </c>
      <c r="G183" s="1">
        <v>6.3940000000000001</v>
      </c>
      <c r="H183" s="1">
        <v>4.2039999999999997</v>
      </c>
      <c r="J183" s="1">
        <v>4.2039999999999997</v>
      </c>
      <c r="K183" s="1">
        <v>4.1375000000000002</v>
      </c>
      <c r="L183" s="1">
        <v>0</v>
      </c>
      <c r="M183" s="1">
        <v>6.5145</v>
      </c>
      <c r="N183" s="1">
        <v>8.6709999999999994</v>
      </c>
      <c r="O183" s="1">
        <v>6.0220000000000002</v>
      </c>
      <c r="Q183" s="1">
        <v>8.6709999999999994</v>
      </c>
      <c r="R183" s="1">
        <v>6.0220000000000002</v>
      </c>
      <c r="S183" s="1">
        <v>4.6855000000000002</v>
      </c>
      <c r="T183" s="1">
        <v>5.9766666666666604</v>
      </c>
      <c r="U183" s="1">
        <v>3.6244999999999998</v>
      </c>
      <c r="V183" s="1">
        <v>7.6152499999999996</v>
      </c>
      <c r="W183" s="1">
        <v>1.399</v>
      </c>
      <c r="Y183" s="1">
        <v>7.6890000000000001</v>
      </c>
      <c r="Z183" s="1">
        <v>5.3760000000000003</v>
      </c>
      <c r="AA183" s="1">
        <v>4.1289999999999996</v>
      </c>
      <c r="AB183" s="1">
        <v>5.0272499999999898</v>
      </c>
    </row>
    <row r="184" spans="1:28" ht="16" x14ac:dyDescent="0.2">
      <c r="A184" s="1">
        <v>86</v>
      </c>
      <c r="B184" s="1" t="s">
        <v>281</v>
      </c>
      <c r="C184" s="1" t="s">
        <v>282</v>
      </c>
      <c r="D184" s="1" t="s">
        <v>6</v>
      </c>
      <c r="F184" s="1">
        <v>6.7130000000000001</v>
      </c>
      <c r="G184" s="1">
        <v>5.0209999999999999</v>
      </c>
      <c r="H184" s="1">
        <v>3.9205000000000001</v>
      </c>
      <c r="J184" s="1">
        <v>3.9205000000000001</v>
      </c>
      <c r="K184" s="1">
        <v>3.0865</v>
      </c>
      <c r="L184" s="1">
        <v>1.964</v>
      </c>
      <c r="M184" s="1">
        <v>6.5145</v>
      </c>
      <c r="N184" s="1">
        <v>8.6709999999999994</v>
      </c>
      <c r="O184" s="1">
        <v>8.9695</v>
      </c>
      <c r="Q184" s="1">
        <v>8.6709999999999994</v>
      </c>
      <c r="R184" s="1">
        <v>8.9695</v>
      </c>
      <c r="S184" s="1">
        <v>6.1715</v>
      </c>
      <c r="T184" s="1">
        <v>6.5666666666666602</v>
      </c>
      <c r="U184" s="1">
        <v>4.1734999999999998</v>
      </c>
      <c r="V184" s="1">
        <v>8.2309999999999999</v>
      </c>
      <c r="W184" s="1">
        <v>1.1919999999999999</v>
      </c>
      <c r="Y184" s="1">
        <v>4.7560000000000002</v>
      </c>
      <c r="Z184" s="1">
        <v>2.956</v>
      </c>
      <c r="AA184" s="1">
        <v>3.5329999999999999</v>
      </c>
      <c r="AB184" s="1">
        <v>5.6269999999999998</v>
      </c>
    </row>
    <row r="185" spans="1:28" ht="16" x14ac:dyDescent="0.2">
      <c r="A185" s="1">
        <v>192</v>
      </c>
      <c r="B185" s="1" t="s">
        <v>216</v>
      </c>
      <c r="C185" s="1" t="s">
        <v>282</v>
      </c>
      <c r="D185" s="1" t="s">
        <v>6</v>
      </c>
      <c r="F185" s="1">
        <v>4.1379999999999999</v>
      </c>
      <c r="G185" s="1">
        <v>4.9240000000000004</v>
      </c>
      <c r="H185" s="1">
        <v>3.9205000000000001</v>
      </c>
      <c r="J185" s="1">
        <v>3.9205000000000001</v>
      </c>
      <c r="K185" s="1">
        <v>6.9569999999999999</v>
      </c>
      <c r="L185" s="1">
        <v>5.899</v>
      </c>
      <c r="M185" s="1">
        <v>6.5145</v>
      </c>
      <c r="N185" s="1">
        <v>8.6709999999999994</v>
      </c>
      <c r="O185" s="1">
        <v>8.1594999999999995</v>
      </c>
      <c r="Q185" s="1">
        <v>8.6709999999999994</v>
      </c>
      <c r="R185" s="1">
        <v>8.1594999999999995</v>
      </c>
      <c r="S185" s="1">
        <v>5.1805000000000003</v>
      </c>
      <c r="T185" s="1">
        <v>6.3176666666666597</v>
      </c>
      <c r="U185" s="1">
        <v>4.2154999999999996</v>
      </c>
      <c r="V185" s="1">
        <v>8.4595000000000002</v>
      </c>
      <c r="W185" s="1">
        <v>2.2404999999999999</v>
      </c>
      <c r="Y185" s="1">
        <v>5.9684999999999997</v>
      </c>
      <c r="Z185" s="1">
        <v>6.2195</v>
      </c>
      <c r="AA185" s="1">
        <v>6.3039999999999896</v>
      </c>
      <c r="AB185" s="1">
        <v>4.9079999999999897</v>
      </c>
    </row>
    <row r="186" spans="1:28" ht="16" x14ac:dyDescent="0.2">
      <c r="A186" s="1">
        <v>183</v>
      </c>
      <c r="B186" s="1" t="s">
        <v>283</v>
      </c>
      <c r="C186" s="1" t="s">
        <v>284</v>
      </c>
      <c r="D186" s="1" t="s">
        <v>6</v>
      </c>
      <c r="F186" s="1">
        <v>3.153</v>
      </c>
      <c r="G186" s="1">
        <v>0</v>
      </c>
      <c r="H186" s="1">
        <v>6.9474999999999998</v>
      </c>
      <c r="J186" s="1">
        <v>6.9474999999999998</v>
      </c>
      <c r="K186" s="1">
        <v>3.5589999999999899</v>
      </c>
      <c r="L186" s="1">
        <v>0</v>
      </c>
      <c r="M186" s="1">
        <v>6.0404999999999998</v>
      </c>
      <c r="N186" s="1">
        <v>6.2086666666666597</v>
      </c>
      <c r="O186" s="1">
        <v>6.7854999999999999</v>
      </c>
      <c r="Q186" s="1">
        <v>6.2086666666666597</v>
      </c>
      <c r="R186" s="1">
        <v>6.7854999999999999</v>
      </c>
      <c r="S186" s="1">
        <v>6.976</v>
      </c>
      <c r="T186" s="1">
        <v>6.5933333333333302</v>
      </c>
      <c r="U186" s="1">
        <v>0</v>
      </c>
      <c r="V186" s="1">
        <v>4.3842499999999998</v>
      </c>
      <c r="W186" s="1">
        <v>2.0019999999999998</v>
      </c>
      <c r="Y186" s="1">
        <v>3.19</v>
      </c>
      <c r="Z186" s="1">
        <v>5.5564999999999998</v>
      </c>
      <c r="AA186" s="1">
        <v>4.8194999999999997</v>
      </c>
      <c r="AB186" s="1">
        <v>0</v>
      </c>
    </row>
    <row r="187" spans="1:28" ht="16" x14ac:dyDescent="0.2">
      <c r="A187" s="1">
        <v>9</v>
      </c>
      <c r="B187" s="1" t="s">
        <v>285</v>
      </c>
      <c r="C187" s="1" t="s">
        <v>286</v>
      </c>
      <c r="D187" s="1" t="s">
        <v>11</v>
      </c>
      <c r="F187" s="1">
        <v>9.2264999999999997</v>
      </c>
      <c r="G187" s="1">
        <v>9.2949999999999999</v>
      </c>
      <c r="H187" s="1">
        <v>8.42349999999999</v>
      </c>
      <c r="J187" s="1">
        <v>8.42349999999999</v>
      </c>
      <c r="K187" s="1">
        <v>2.2069999999999999</v>
      </c>
      <c r="L187" s="1">
        <v>0</v>
      </c>
      <c r="M187" s="1">
        <v>4.109</v>
      </c>
      <c r="N187" s="1">
        <v>3.6840000000000002</v>
      </c>
      <c r="O187" s="1">
        <v>7.0514999999999901</v>
      </c>
      <c r="Q187" s="1">
        <v>3.6840000000000002</v>
      </c>
      <c r="R187" s="1">
        <v>7.0514999999999901</v>
      </c>
      <c r="S187" s="1">
        <v>6.9344999999999999</v>
      </c>
      <c r="T187" s="1">
        <v>5.4853333333333296</v>
      </c>
      <c r="U187" s="1">
        <v>0</v>
      </c>
      <c r="V187" s="1">
        <v>3.9689999999999999</v>
      </c>
      <c r="W187" s="1">
        <v>0.64500000000000002</v>
      </c>
      <c r="Y187" s="1">
        <v>1.4790000000000001</v>
      </c>
      <c r="Z187" s="1">
        <v>5.9919999999999902</v>
      </c>
      <c r="AA187" s="1">
        <v>3.4845000000000002</v>
      </c>
      <c r="AB187" s="1">
        <v>4.96875</v>
      </c>
    </row>
    <row r="188" spans="1:28" ht="16" x14ac:dyDescent="0.2">
      <c r="A188" s="1">
        <v>186</v>
      </c>
      <c r="B188" s="1" t="s">
        <v>287</v>
      </c>
      <c r="C188" s="1" t="s">
        <v>288</v>
      </c>
      <c r="D188" s="1" t="s">
        <v>6</v>
      </c>
      <c r="F188" s="1">
        <v>4.2069999999999999</v>
      </c>
      <c r="G188" s="1">
        <v>4.4219999999999997</v>
      </c>
      <c r="H188" s="1">
        <v>3.7785000000000002</v>
      </c>
      <c r="J188" s="1">
        <v>3.7785000000000002</v>
      </c>
      <c r="K188" s="1">
        <v>7.3624999999999998</v>
      </c>
      <c r="L188" s="1">
        <v>5.2159999999999904</v>
      </c>
      <c r="M188" s="1">
        <v>6.5145</v>
      </c>
      <c r="N188" s="1">
        <v>8.6709999999999994</v>
      </c>
      <c r="O188" s="1">
        <v>5.8644999999999996</v>
      </c>
      <c r="Q188" s="1">
        <v>8.6709999999999994</v>
      </c>
      <c r="R188" s="1">
        <v>5.8644999999999996</v>
      </c>
      <c r="S188" s="1">
        <v>3.1329999999999898</v>
      </c>
      <c r="T188" s="1">
        <v>6.4826666666666597</v>
      </c>
      <c r="U188" s="1">
        <v>6.0285000000000002</v>
      </c>
      <c r="V188" s="1">
        <v>5.1239999999999997</v>
      </c>
      <c r="W188" s="1">
        <v>3.5559999999999898</v>
      </c>
      <c r="Y188" s="1">
        <v>7.4429999999999996</v>
      </c>
      <c r="Z188" s="1">
        <v>8.4920000000000009</v>
      </c>
      <c r="AA188" s="1">
        <v>4.1150000000000002</v>
      </c>
      <c r="AB188" s="1">
        <v>4.1315</v>
      </c>
    </row>
    <row r="189" spans="1:28" ht="16" x14ac:dyDescent="0.2">
      <c r="A189" s="1">
        <v>190</v>
      </c>
      <c r="B189" s="1" t="s">
        <v>289</v>
      </c>
      <c r="C189" s="1" t="s">
        <v>288</v>
      </c>
      <c r="D189" s="1" t="s">
        <v>6</v>
      </c>
      <c r="F189" s="1">
        <v>5.9634999999999998</v>
      </c>
      <c r="G189" s="1">
        <v>4.7949999999999999</v>
      </c>
      <c r="H189" s="1">
        <v>3.7785000000000002</v>
      </c>
      <c r="J189" s="1">
        <v>3.7785000000000002</v>
      </c>
      <c r="K189" s="1">
        <v>6.5075000000000003</v>
      </c>
      <c r="L189" s="1">
        <v>3.5809999999999902</v>
      </c>
      <c r="M189" s="1">
        <v>6.5145</v>
      </c>
      <c r="N189" s="1">
        <v>8.6709999999999994</v>
      </c>
      <c r="O189" s="1">
        <v>7.39</v>
      </c>
      <c r="Q189" s="1">
        <v>8.6709999999999994</v>
      </c>
      <c r="R189" s="1">
        <v>7.39</v>
      </c>
      <c r="S189" s="1">
        <v>4.7910000000000004</v>
      </c>
      <c r="T189" s="1">
        <v>6.3996666666666604</v>
      </c>
      <c r="U189" s="1">
        <v>6.5934999999999997</v>
      </c>
      <c r="V189" s="1">
        <v>6.87425</v>
      </c>
      <c r="W189" s="1">
        <v>1.73799999999999</v>
      </c>
      <c r="Y189" s="1">
        <v>8.6694999999999993</v>
      </c>
      <c r="Z189" s="1">
        <v>6.859</v>
      </c>
      <c r="AA189" s="1">
        <v>4.0685000000000002</v>
      </c>
      <c r="AB189" s="1">
        <v>4.3079999999999998</v>
      </c>
    </row>
    <row r="190" spans="1:28" ht="16" x14ac:dyDescent="0.2">
      <c r="A190" s="1">
        <v>134</v>
      </c>
      <c r="B190" s="1" t="s">
        <v>290</v>
      </c>
      <c r="C190" s="1" t="s">
        <v>291</v>
      </c>
      <c r="D190" s="1" t="s">
        <v>11</v>
      </c>
      <c r="F190" s="1">
        <v>8.7119999999999997</v>
      </c>
      <c r="G190" s="1">
        <v>8.4960000000000004</v>
      </c>
      <c r="H190" s="1">
        <v>6.524</v>
      </c>
      <c r="J190" s="1">
        <v>6.524</v>
      </c>
      <c r="K190" s="1">
        <v>3.8835000000000002</v>
      </c>
      <c r="L190" s="1">
        <v>1.65</v>
      </c>
      <c r="M190" s="1">
        <v>3.1625000000000001</v>
      </c>
      <c r="N190" s="1">
        <v>5.0016666666666598</v>
      </c>
      <c r="O190" s="1">
        <v>6.0804999999999998</v>
      </c>
      <c r="Q190" s="1">
        <v>5.0016666666666598</v>
      </c>
      <c r="R190" s="1">
        <v>6.0804999999999998</v>
      </c>
      <c r="S190" s="1">
        <v>5.2904999999999998</v>
      </c>
      <c r="T190" s="1">
        <v>5.7106666666666603</v>
      </c>
      <c r="U190" s="1">
        <v>0.5</v>
      </c>
      <c r="V190" s="1">
        <v>2.48075</v>
      </c>
      <c r="W190" s="1">
        <v>2.012</v>
      </c>
      <c r="Y190" s="1">
        <v>2.41</v>
      </c>
      <c r="Z190" s="1">
        <v>6.8085000000000004</v>
      </c>
      <c r="AA190" s="1">
        <v>5.3879999999999999</v>
      </c>
      <c r="AB190" s="1">
        <v>4.7589999999999897</v>
      </c>
    </row>
    <row r="191" spans="1:28" ht="16" x14ac:dyDescent="0.2">
      <c r="A191" s="1">
        <v>150</v>
      </c>
      <c r="B191" s="1" t="s">
        <v>292</v>
      </c>
      <c r="C191" s="1" t="s">
        <v>293</v>
      </c>
      <c r="D191" s="1" t="s">
        <v>16</v>
      </c>
      <c r="F191" s="1">
        <v>8.5954999999999995</v>
      </c>
      <c r="G191" s="1">
        <v>8.75199999999999</v>
      </c>
      <c r="H191" s="1">
        <v>4.3029999999999999</v>
      </c>
      <c r="J191" s="1">
        <v>4.3029999999999999</v>
      </c>
      <c r="K191" s="1">
        <v>4.8049999999999997</v>
      </c>
      <c r="L191" s="1">
        <v>3.5470000000000002</v>
      </c>
      <c r="M191" s="1">
        <v>5.0064999999999902</v>
      </c>
      <c r="N191" s="1">
        <v>4.5923333333333298</v>
      </c>
      <c r="O191" s="1">
        <v>5.5030000000000001</v>
      </c>
      <c r="Q191" s="1">
        <v>4.5923333333333298</v>
      </c>
      <c r="R191" s="1">
        <v>5.5030000000000001</v>
      </c>
      <c r="S191" s="1">
        <v>6.4344999999999999</v>
      </c>
      <c r="T191" s="1">
        <v>4.2976666666666601</v>
      </c>
      <c r="U191" s="1">
        <v>0</v>
      </c>
      <c r="V191" s="1">
        <v>1.6830000000000001</v>
      </c>
      <c r="W191" s="1">
        <v>2.6345000000000001</v>
      </c>
      <c r="Y191" s="1">
        <v>4.6079999999999997</v>
      </c>
      <c r="Z191" s="1">
        <v>7.5839999999999996</v>
      </c>
      <c r="AA191" s="1">
        <v>4.8254999999999999</v>
      </c>
      <c r="AB191" s="1">
        <v>3.7130000000000001</v>
      </c>
    </row>
    <row r="192" spans="1:28" ht="16" x14ac:dyDescent="0.2">
      <c r="A192" s="1">
        <v>93</v>
      </c>
      <c r="B192" s="1" t="s">
        <v>294</v>
      </c>
      <c r="C192" s="1" t="s">
        <v>295</v>
      </c>
      <c r="D192" s="1" t="s">
        <v>26</v>
      </c>
      <c r="F192" s="1">
        <v>8.5079999999999991</v>
      </c>
      <c r="G192" s="1">
        <v>8.12699999999999</v>
      </c>
      <c r="H192" s="1">
        <v>5.0969999999999898</v>
      </c>
      <c r="J192" s="1">
        <v>5.0969999999999898</v>
      </c>
      <c r="K192" s="1">
        <v>2.6875</v>
      </c>
      <c r="L192" s="1">
        <v>0</v>
      </c>
      <c r="M192" s="1">
        <v>4.7614999999999998</v>
      </c>
      <c r="N192" s="1">
        <v>5.7043333333333299</v>
      </c>
      <c r="O192" s="1">
        <v>4.4785000000000004</v>
      </c>
      <c r="Q192" s="1">
        <v>5.7043333333333299</v>
      </c>
      <c r="R192" s="1">
        <v>4.4785000000000004</v>
      </c>
      <c r="S192" s="1">
        <v>8.0404999999999998</v>
      </c>
      <c r="T192" s="1">
        <v>6.8556666666666599</v>
      </c>
      <c r="U192" s="1">
        <v>4.6615000000000002</v>
      </c>
      <c r="V192" s="1">
        <v>7.7945000000000002</v>
      </c>
      <c r="W192" s="1">
        <v>2.8344999999999998</v>
      </c>
      <c r="Y192" s="1">
        <v>5.0359999999999996</v>
      </c>
      <c r="Z192" s="1">
        <v>5.5149999999999997</v>
      </c>
      <c r="AA192" s="1">
        <v>5.0249999999999897</v>
      </c>
      <c r="AB192" s="1">
        <v>5.8609999999999998</v>
      </c>
    </row>
    <row r="193" spans="1:28" ht="16" x14ac:dyDescent="0.2">
      <c r="A193" s="1">
        <v>123</v>
      </c>
      <c r="B193" s="1" t="s">
        <v>296</v>
      </c>
      <c r="C193" s="1" t="s">
        <v>295</v>
      </c>
      <c r="D193" s="1" t="s">
        <v>26</v>
      </c>
      <c r="F193" s="1">
        <v>8.4245000000000001</v>
      </c>
      <c r="G193" s="1">
        <v>8.5090000000000003</v>
      </c>
      <c r="H193" s="1">
        <v>5.0969999999999898</v>
      </c>
      <c r="J193" s="1">
        <v>5.0969999999999898</v>
      </c>
      <c r="K193" s="1">
        <v>4.5339999999999998</v>
      </c>
      <c r="L193" s="1">
        <v>2.11</v>
      </c>
      <c r="M193" s="1">
        <v>4.7614999999999998</v>
      </c>
      <c r="N193" s="1">
        <v>5.7043333333333299</v>
      </c>
      <c r="O193" s="1">
        <v>4.5919999999999996</v>
      </c>
      <c r="Q193" s="1">
        <v>5.7043333333333299</v>
      </c>
      <c r="R193" s="1">
        <v>4.5919999999999996</v>
      </c>
      <c r="S193" s="1">
        <v>8.5214999999999996</v>
      </c>
      <c r="T193" s="1">
        <v>6.8539999999999903</v>
      </c>
      <c r="U193" s="1">
        <v>4.6624999999999996</v>
      </c>
      <c r="V193" s="1">
        <v>4.8019999999999996</v>
      </c>
      <c r="W193" s="1">
        <v>2.9285000000000001</v>
      </c>
      <c r="Y193" s="1">
        <v>5.7874999999999996</v>
      </c>
      <c r="Z193" s="1">
        <v>7.8399999999999901</v>
      </c>
      <c r="AA193" s="1">
        <v>4.3085000000000004</v>
      </c>
      <c r="AB193" s="1">
        <v>5.6289999999999996</v>
      </c>
    </row>
    <row r="194" spans="1:28" ht="16" x14ac:dyDescent="0.2">
      <c r="A194" s="1">
        <v>258</v>
      </c>
      <c r="B194" s="1" t="s">
        <v>297</v>
      </c>
      <c r="C194" s="1" t="s">
        <v>295</v>
      </c>
      <c r="D194" s="1" t="s">
        <v>26</v>
      </c>
      <c r="F194" s="1">
        <v>7.8695000000000004</v>
      </c>
      <c r="G194" s="1">
        <v>8.1920000000000002</v>
      </c>
      <c r="H194" s="1">
        <v>5.0969999999999898</v>
      </c>
      <c r="J194" s="1">
        <v>5.0969999999999898</v>
      </c>
      <c r="K194" s="1">
        <v>6.1215000000000002</v>
      </c>
      <c r="L194" s="1">
        <v>1.85299999999999</v>
      </c>
      <c r="M194" s="1">
        <v>4.7614999999999998</v>
      </c>
      <c r="N194" s="1">
        <v>5.7043333333333299</v>
      </c>
      <c r="O194" s="1">
        <v>4.6360000000000001</v>
      </c>
      <c r="Q194" s="1">
        <v>5.7043333333333299</v>
      </c>
      <c r="R194" s="1">
        <v>4.6360000000000001</v>
      </c>
      <c r="S194" s="1">
        <v>8.6995000000000005</v>
      </c>
      <c r="T194" s="1">
        <v>6.8816666666666597</v>
      </c>
      <c r="U194" s="1">
        <v>4.6684999999999999</v>
      </c>
      <c r="V194" s="1">
        <v>6.3889999999999896</v>
      </c>
      <c r="W194" s="1">
        <v>3.8639999999999999</v>
      </c>
      <c r="Y194" s="1">
        <v>6</v>
      </c>
      <c r="Z194" s="1">
        <v>7.3354999999999997</v>
      </c>
      <c r="AA194" s="1">
        <v>4.9610000000000003</v>
      </c>
      <c r="AB194" s="1">
        <v>5.2029999999999896</v>
      </c>
    </row>
    <row r="195" spans="1:28" ht="16" x14ac:dyDescent="0.2">
      <c r="A195" s="1">
        <v>262</v>
      </c>
      <c r="B195" s="1" t="s">
        <v>298</v>
      </c>
      <c r="C195" s="1" t="s">
        <v>295</v>
      </c>
      <c r="D195" s="1" t="s">
        <v>26</v>
      </c>
      <c r="F195" s="1">
        <v>8.452</v>
      </c>
      <c r="G195" s="1">
        <v>8.4339999999999993</v>
      </c>
      <c r="H195" s="1">
        <v>5.0969999999999898</v>
      </c>
      <c r="J195" s="1">
        <v>5.0969999999999898</v>
      </c>
      <c r="K195" s="1">
        <v>3.5859999999999999</v>
      </c>
      <c r="L195" s="1">
        <v>2.3860000000000001</v>
      </c>
      <c r="M195" s="1">
        <v>4.7614999999999998</v>
      </c>
      <c r="N195" s="1">
        <v>5.7043333333333299</v>
      </c>
      <c r="O195" s="1">
        <v>3.9045000000000001</v>
      </c>
      <c r="Q195" s="1">
        <v>5.7043333333333299</v>
      </c>
      <c r="R195" s="1">
        <v>3.9045000000000001</v>
      </c>
      <c r="S195" s="1">
        <v>8.1654999999999998</v>
      </c>
      <c r="T195" s="1">
        <v>6.7813333333333299</v>
      </c>
      <c r="U195" s="1">
        <v>4.1615000000000002</v>
      </c>
      <c r="V195" s="1">
        <v>4.9647500000000004</v>
      </c>
      <c r="W195" s="1">
        <v>2.2444999999999999</v>
      </c>
      <c r="Y195" s="1">
        <v>5.7614999999999998</v>
      </c>
      <c r="Z195" s="1">
        <v>4.7495000000000003</v>
      </c>
      <c r="AA195" s="1">
        <v>4.085</v>
      </c>
      <c r="AB195" s="1">
        <v>4.9547499999999998</v>
      </c>
    </row>
    <row r="196" spans="1:28" ht="16" x14ac:dyDescent="0.2">
      <c r="A196" s="1">
        <v>135</v>
      </c>
      <c r="B196" s="1" t="s">
        <v>299</v>
      </c>
      <c r="C196" s="1" t="s">
        <v>300</v>
      </c>
      <c r="D196" s="1" t="s">
        <v>26</v>
      </c>
      <c r="F196" s="1">
        <v>6.734</v>
      </c>
      <c r="G196" s="1">
        <v>7.0039999999999996</v>
      </c>
      <c r="H196" s="1">
        <v>4.1574999999999998</v>
      </c>
      <c r="J196" s="1">
        <v>4.1574999999999998</v>
      </c>
      <c r="K196" s="1">
        <v>6.0220000000000002</v>
      </c>
      <c r="L196" s="1">
        <v>3.194</v>
      </c>
      <c r="M196" s="1">
        <v>3.4830000000000001</v>
      </c>
      <c r="N196" s="1">
        <v>8.2386666666666599</v>
      </c>
      <c r="O196" s="1">
        <v>9.5969999999999995</v>
      </c>
      <c r="Q196" s="1">
        <v>8.2386666666666599</v>
      </c>
      <c r="R196" s="1">
        <v>9.5969999999999995</v>
      </c>
      <c r="S196" s="1">
        <v>8.4380000000000006</v>
      </c>
      <c r="T196" s="1">
        <v>7.8603333333333296</v>
      </c>
      <c r="U196" s="1">
        <v>4.4800000000000004</v>
      </c>
      <c r="V196" s="1">
        <v>6.4115000000000002</v>
      </c>
      <c r="W196" s="1">
        <v>4.1909999999999998</v>
      </c>
      <c r="Y196" s="1">
        <v>6.3940000000000001</v>
      </c>
      <c r="Z196" s="1">
        <v>7.8334999999999999</v>
      </c>
      <c r="AA196" s="1">
        <v>5.6909999999999901</v>
      </c>
      <c r="AB196" s="1">
        <v>5.3157500000000004</v>
      </c>
    </row>
    <row r="197" spans="1:28" ht="16" x14ac:dyDescent="0.2">
      <c r="A197" s="1">
        <v>193</v>
      </c>
      <c r="B197" s="1" t="s">
        <v>301</v>
      </c>
      <c r="C197" s="1" t="s">
        <v>300</v>
      </c>
      <c r="D197" s="1" t="s">
        <v>26</v>
      </c>
      <c r="F197" s="1">
        <v>8.1095000000000006</v>
      </c>
      <c r="G197" s="1">
        <v>7.4219999999999997</v>
      </c>
      <c r="H197" s="1">
        <v>4.1574999999999998</v>
      </c>
      <c r="J197" s="1">
        <v>4.1574999999999998</v>
      </c>
      <c r="K197" s="1">
        <v>4.3129999999999997</v>
      </c>
      <c r="L197" s="1">
        <v>1.8859999999999999</v>
      </c>
      <c r="M197" s="1">
        <v>3.4830000000000001</v>
      </c>
      <c r="N197" s="1">
        <v>8.2386666666666599</v>
      </c>
      <c r="O197" s="1">
        <v>9.5734999999999992</v>
      </c>
      <c r="Q197" s="1">
        <v>8.2386666666666599</v>
      </c>
      <c r="R197" s="1">
        <v>9.5734999999999992</v>
      </c>
      <c r="S197" s="1">
        <v>7.7045000000000003</v>
      </c>
      <c r="T197" s="1">
        <v>8.1666666666666607</v>
      </c>
      <c r="U197" s="1">
        <v>4.4489999999999998</v>
      </c>
      <c r="V197" s="1">
        <v>7.0387500000000003</v>
      </c>
      <c r="W197" s="1">
        <v>3.1114999999999999</v>
      </c>
      <c r="Y197" s="1">
        <v>4.4945000000000004</v>
      </c>
      <c r="Z197" s="1">
        <v>5.625</v>
      </c>
      <c r="AA197" s="1">
        <v>5.9485000000000001</v>
      </c>
      <c r="AB197" s="1">
        <v>5.46</v>
      </c>
    </row>
    <row r="198" spans="1:28" ht="16" x14ac:dyDescent="0.2">
      <c r="A198" s="1">
        <v>214</v>
      </c>
      <c r="B198" s="1" t="s">
        <v>302</v>
      </c>
      <c r="C198" s="1" t="s">
        <v>303</v>
      </c>
      <c r="D198" s="1" t="s">
        <v>6</v>
      </c>
      <c r="F198" s="1">
        <v>7.4275000000000002</v>
      </c>
      <c r="G198" s="1">
        <v>5.9799999999999898</v>
      </c>
      <c r="H198" s="1">
        <v>4.3964999999999996</v>
      </c>
      <c r="J198" s="1">
        <v>4.3964999999999996</v>
      </c>
      <c r="K198" s="1">
        <v>1.4285000000000001</v>
      </c>
      <c r="L198" s="1">
        <v>0</v>
      </c>
      <c r="M198" s="1">
        <v>0</v>
      </c>
      <c r="N198" s="1">
        <v>3.1729999999999898</v>
      </c>
      <c r="O198" s="1">
        <v>3.66</v>
      </c>
      <c r="Q198" s="1">
        <v>3.1729999999999898</v>
      </c>
      <c r="R198" s="1">
        <v>3.66</v>
      </c>
      <c r="S198" s="1">
        <v>5.1210000000000004</v>
      </c>
      <c r="T198" s="1">
        <v>4.3633333333333297</v>
      </c>
      <c r="U198" s="1">
        <v>0</v>
      </c>
      <c r="V198" s="1">
        <v>4.4932499999999997</v>
      </c>
      <c r="W198" s="1">
        <v>1.38</v>
      </c>
      <c r="Y198" s="1">
        <v>4.2734999999999896</v>
      </c>
      <c r="Z198" s="1">
        <v>6.8395000000000001</v>
      </c>
      <c r="AA198" s="1">
        <v>5.3244999999999996</v>
      </c>
      <c r="AB198" s="1">
        <v>1.1419999999999999</v>
      </c>
    </row>
    <row r="199" spans="1:28" ht="16" x14ac:dyDescent="0.2">
      <c r="A199" s="1">
        <v>78</v>
      </c>
      <c r="B199" s="1" t="s">
        <v>304</v>
      </c>
      <c r="C199" s="1" t="s">
        <v>305</v>
      </c>
      <c r="D199" s="1" t="s">
        <v>16</v>
      </c>
      <c r="F199" s="1">
        <v>2.1315</v>
      </c>
      <c r="G199" s="1">
        <v>6.1829999999999998</v>
      </c>
      <c r="H199" s="1">
        <v>10</v>
      </c>
      <c r="J199" s="1">
        <v>10</v>
      </c>
      <c r="K199" s="1">
        <v>2.6875</v>
      </c>
      <c r="L199" s="1">
        <v>0</v>
      </c>
      <c r="M199" s="1">
        <v>9.39</v>
      </c>
      <c r="N199" s="1">
        <v>7.4083333333333297</v>
      </c>
      <c r="O199" s="1">
        <v>5.0625</v>
      </c>
      <c r="Q199" s="1">
        <v>7.4083333333333297</v>
      </c>
      <c r="R199" s="1">
        <v>5.0625</v>
      </c>
      <c r="S199" s="1">
        <v>9.4860000000000007</v>
      </c>
      <c r="T199" s="1">
        <v>7.4336666666666602</v>
      </c>
      <c r="U199" s="1">
        <v>1.4335</v>
      </c>
      <c r="V199" s="1">
        <v>3.9417499999999999</v>
      </c>
      <c r="W199" s="1">
        <v>2.6425000000000001</v>
      </c>
      <c r="Y199" s="1">
        <v>3.2450000000000001</v>
      </c>
      <c r="Z199" s="1">
        <v>4.6204999999999998</v>
      </c>
      <c r="AA199" s="1">
        <v>4.4369999999999896</v>
      </c>
      <c r="AB199" s="1">
        <v>4.61625</v>
      </c>
    </row>
    <row r="200" spans="1:28" ht="16" x14ac:dyDescent="0.2">
      <c r="A200" s="1">
        <v>196</v>
      </c>
      <c r="B200" s="1" t="s">
        <v>306</v>
      </c>
      <c r="C200" s="1" t="s">
        <v>307</v>
      </c>
      <c r="D200" s="1" t="s">
        <v>6</v>
      </c>
      <c r="F200" s="1">
        <v>3.153</v>
      </c>
      <c r="G200" s="1">
        <v>0</v>
      </c>
      <c r="H200" s="1">
        <v>4.2039999999999997</v>
      </c>
      <c r="J200" s="1">
        <v>4.2039999999999997</v>
      </c>
      <c r="K200" s="1">
        <v>3.7639999999999998</v>
      </c>
      <c r="L200" s="1">
        <v>1</v>
      </c>
      <c r="M200" s="1">
        <v>6.5145</v>
      </c>
      <c r="N200" s="1">
        <v>8.6709999999999994</v>
      </c>
      <c r="O200" s="1">
        <v>7.49</v>
      </c>
      <c r="Q200" s="1">
        <v>8.6709999999999994</v>
      </c>
      <c r="R200" s="1">
        <v>7.49</v>
      </c>
      <c r="S200" s="1">
        <v>6.8460000000000001</v>
      </c>
      <c r="T200" s="1">
        <v>6.5149999999999997</v>
      </c>
      <c r="U200" s="1">
        <v>5.3014999999999999</v>
      </c>
      <c r="V200" s="1">
        <v>5.9004999999999903</v>
      </c>
      <c r="W200" s="1">
        <v>3.0185</v>
      </c>
      <c r="Y200" s="1">
        <v>8.9344999999999999</v>
      </c>
      <c r="Z200" s="1">
        <v>3.9184999999999999</v>
      </c>
      <c r="AA200" s="1">
        <v>1.0840000000000001</v>
      </c>
      <c r="AB200" s="1">
        <v>2.4220000000000002</v>
      </c>
    </row>
    <row r="201" spans="1:28" ht="16" x14ac:dyDescent="0.2">
      <c r="A201" s="1">
        <v>44</v>
      </c>
      <c r="B201" s="1" t="s">
        <v>308</v>
      </c>
      <c r="C201" s="1" t="s">
        <v>309</v>
      </c>
      <c r="D201" s="1" t="s">
        <v>26</v>
      </c>
      <c r="F201" s="1">
        <v>9.1865000000000006</v>
      </c>
      <c r="G201" s="1">
        <v>8.516</v>
      </c>
      <c r="H201" s="1">
        <v>6.8389999999999898</v>
      </c>
      <c r="J201" s="1">
        <v>6.8389999999999898</v>
      </c>
      <c r="K201" s="1">
        <v>5.383</v>
      </c>
      <c r="L201" s="1">
        <v>1.1870000000000001</v>
      </c>
      <c r="M201" s="1">
        <v>4.1029999999999998</v>
      </c>
      <c r="N201" s="1">
        <v>5.6816666666666604</v>
      </c>
      <c r="O201" s="1">
        <v>8.6865000000000006</v>
      </c>
      <c r="Q201" s="1">
        <v>5.6816666666666604</v>
      </c>
      <c r="R201" s="1">
        <v>8.6865000000000006</v>
      </c>
      <c r="S201" s="1">
        <v>8.98599999999999</v>
      </c>
      <c r="T201" s="1">
        <v>6.0753333333333304</v>
      </c>
      <c r="U201" s="1">
        <v>2.4474999999999998</v>
      </c>
      <c r="V201" s="1">
        <v>3.4192499999999999</v>
      </c>
      <c r="W201" s="1">
        <v>3.4954999999999998</v>
      </c>
      <c r="Y201" s="1">
        <v>9.6379999999999999</v>
      </c>
      <c r="Z201" s="1">
        <v>6.9594999999999896</v>
      </c>
      <c r="AA201" s="1">
        <v>1.96749999999999</v>
      </c>
      <c r="AB201" s="1">
        <v>5.0724999999999998</v>
      </c>
    </row>
    <row r="202" spans="1:28" ht="16" x14ac:dyDescent="0.2">
      <c r="A202" s="1">
        <v>65</v>
      </c>
      <c r="B202" s="1" t="s">
        <v>310</v>
      </c>
      <c r="C202" s="1" t="s">
        <v>309</v>
      </c>
      <c r="D202" s="1" t="s">
        <v>26</v>
      </c>
      <c r="F202" s="1">
        <v>9.1649999999999991</v>
      </c>
      <c r="G202" s="1">
        <v>8.7940000000000005</v>
      </c>
      <c r="H202" s="1">
        <v>6.8389999999999898</v>
      </c>
      <c r="J202" s="1">
        <v>6.8389999999999898</v>
      </c>
      <c r="K202" s="1">
        <v>3.4094999999999902</v>
      </c>
      <c r="L202" s="1">
        <v>1.899</v>
      </c>
      <c r="M202" s="1">
        <v>4.1029999999999998</v>
      </c>
      <c r="N202" s="1">
        <v>5.6816666666666604</v>
      </c>
      <c r="O202" s="1">
        <v>8.6240000000000006</v>
      </c>
      <c r="Q202" s="1">
        <v>5.6816666666666604</v>
      </c>
      <c r="R202" s="1">
        <v>8.6240000000000006</v>
      </c>
      <c r="S202" s="1">
        <v>9.4744999999999902</v>
      </c>
      <c r="T202" s="1">
        <v>6.4343333333333304</v>
      </c>
      <c r="U202" s="1">
        <v>2.448</v>
      </c>
      <c r="V202" s="1">
        <v>6.4007500000000004</v>
      </c>
      <c r="W202" s="1">
        <v>1.7625</v>
      </c>
      <c r="Y202" s="1">
        <v>8.6654999999999998</v>
      </c>
      <c r="Z202" s="1">
        <v>2.6274999999999999</v>
      </c>
      <c r="AA202" s="1">
        <v>4.2549999999999999</v>
      </c>
      <c r="AB202" s="1">
        <v>5.8760000000000003</v>
      </c>
    </row>
    <row r="203" spans="1:28" ht="16" x14ac:dyDescent="0.2">
      <c r="A203" s="1">
        <v>163</v>
      </c>
      <c r="B203" s="1" t="s">
        <v>311</v>
      </c>
      <c r="C203" s="1" t="s">
        <v>312</v>
      </c>
      <c r="D203" s="1" t="s">
        <v>26</v>
      </c>
      <c r="F203" s="1">
        <v>6.5549999999999997</v>
      </c>
      <c r="G203" s="1">
        <v>8.0990000000000002</v>
      </c>
      <c r="H203" s="1">
        <v>6.0170000000000003</v>
      </c>
      <c r="J203" s="1">
        <v>6.0170000000000003</v>
      </c>
      <c r="K203" s="1">
        <v>5.0529999999999999</v>
      </c>
      <c r="L203" s="1">
        <v>3.7049999999999899</v>
      </c>
      <c r="M203" s="1">
        <v>3.1480000000000001</v>
      </c>
      <c r="N203" s="1">
        <v>5.3866666666666596</v>
      </c>
      <c r="O203" s="1">
        <v>3.4750000000000001</v>
      </c>
      <c r="Q203" s="1">
        <v>5.3866666666666596</v>
      </c>
      <c r="R203" s="1">
        <v>3.4750000000000001</v>
      </c>
      <c r="S203" s="1">
        <v>7.4779999999999998</v>
      </c>
      <c r="T203" s="1">
        <v>4.7629999999999999</v>
      </c>
      <c r="U203" s="1">
        <v>4.5724999999999998</v>
      </c>
      <c r="V203" s="1">
        <v>5.27475</v>
      </c>
      <c r="W203" s="1">
        <v>9.0544999999999902</v>
      </c>
      <c r="Y203" s="1">
        <v>6.5709999999999997</v>
      </c>
      <c r="Z203" s="1">
        <v>8.87549999999999</v>
      </c>
      <c r="AA203" s="1">
        <v>5.09</v>
      </c>
      <c r="AB203" s="1">
        <v>4.5462499999999997</v>
      </c>
    </row>
    <row r="204" spans="1:28" ht="32" x14ac:dyDescent="0.2">
      <c r="A204" s="1">
        <v>208</v>
      </c>
      <c r="B204" s="1" t="s">
        <v>313</v>
      </c>
      <c r="C204" s="1" t="s">
        <v>312</v>
      </c>
      <c r="D204" s="1" t="s">
        <v>26</v>
      </c>
      <c r="F204" s="1">
        <v>8.3605</v>
      </c>
      <c r="G204" s="1">
        <v>8.673</v>
      </c>
      <c r="H204" s="1">
        <v>6.0445000000000002</v>
      </c>
      <c r="J204" s="1">
        <v>6.0445000000000002</v>
      </c>
      <c r="K204" s="1">
        <v>4.9824999999999999</v>
      </c>
      <c r="L204" s="1">
        <v>0</v>
      </c>
      <c r="M204" s="1">
        <v>3.1480000000000001</v>
      </c>
      <c r="N204" s="1">
        <v>5.5469999999999997</v>
      </c>
      <c r="O204" s="1">
        <v>4.3380000000000001</v>
      </c>
      <c r="Q204" s="1">
        <v>5.5469999999999997</v>
      </c>
      <c r="R204" s="1">
        <v>4.3380000000000001</v>
      </c>
      <c r="S204" s="1">
        <v>7.7930000000000001</v>
      </c>
      <c r="T204" s="1">
        <v>4.9519999999999902</v>
      </c>
      <c r="U204" s="1">
        <v>4.282</v>
      </c>
      <c r="V204" s="1">
        <v>4.3242500000000001</v>
      </c>
      <c r="W204" s="1">
        <v>5.8804999999999996</v>
      </c>
      <c r="Y204" s="1">
        <v>5.6425000000000001</v>
      </c>
      <c r="Z204" s="1">
        <v>9.6534999999999993</v>
      </c>
      <c r="AA204" s="1">
        <v>5.3849999999999998</v>
      </c>
      <c r="AB204" s="1">
        <v>4.6259999999999897</v>
      </c>
    </row>
    <row r="205" spans="1:28" ht="16" x14ac:dyDescent="0.2">
      <c r="A205" s="1">
        <v>204</v>
      </c>
      <c r="B205" s="1" t="s">
        <v>314</v>
      </c>
      <c r="C205" s="1" t="s">
        <v>315</v>
      </c>
      <c r="D205" s="1" t="s">
        <v>16</v>
      </c>
      <c r="F205" s="1">
        <v>8.6965000000000003</v>
      </c>
      <c r="G205" s="1">
        <v>7.806</v>
      </c>
      <c r="H205" s="1">
        <v>10</v>
      </c>
      <c r="J205" s="1">
        <v>10</v>
      </c>
      <c r="K205" s="1">
        <v>3.6915</v>
      </c>
      <c r="L205" s="1">
        <v>2.0219999999999998</v>
      </c>
      <c r="M205" s="1">
        <v>7.0419999999999998</v>
      </c>
      <c r="N205" s="1">
        <v>6.1039999999999903</v>
      </c>
      <c r="O205" s="1">
        <v>2.9089999999999998</v>
      </c>
      <c r="Q205" s="1">
        <v>6.1039999999999903</v>
      </c>
      <c r="R205" s="1">
        <v>2.9089999999999998</v>
      </c>
      <c r="S205" s="1">
        <v>7.5830000000000002</v>
      </c>
      <c r="T205" s="1">
        <v>6.0856666666666603</v>
      </c>
      <c r="U205" s="1">
        <v>0.50349999999999995</v>
      </c>
      <c r="V205" s="1">
        <v>3.3512499999999998</v>
      </c>
      <c r="W205" s="1">
        <v>2.4604999999999899</v>
      </c>
      <c r="Y205" s="1">
        <v>4.13</v>
      </c>
      <c r="Z205" s="1">
        <v>5.8434999999999997</v>
      </c>
      <c r="AA205" s="1">
        <v>0.5</v>
      </c>
      <c r="AB205" s="1">
        <v>4.7532500000000004</v>
      </c>
    </row>
    <row r="206" spans="1:28" ht="16" x14ac:dyDescent="0.2">
      <c r="A206" s="1">
        <v>22</v>
      </c>
      <c r="B206" s="1" t="s">
        <v>316</v>
      </c>
      <c r="C206" s="1" t="s">
        <v>317</v>
      </c>
      <c r="D206" s="1" t="s">
        <v>26</v>
      </c>
      <c r="F206" s="1">
        <v>9.2575000000000003</v>
      </c>
      <c r="G206" s="1">
        <v>8.5459999999999994</v>
      </c>
      <c r="H206" s="1">
        <v>4.1665000000000001</v>
      </c>
      <c r="J206" s="1">
        <v>4.1665000000000001</v>
      </c>
      <c r="K206" s="1">
        <v>4.9095000000000004</v>
      </c>
      <c r="L206" s="1">
        <v>2.3330000000000002</v>
      </c>
      <c r="M206" s="1">
        <v>1.6379999999999999</v>
      </c>
      <c r="N206" s="1">
        <v>5.3839999999999897</v>
      </c>
      <c r="O206" s="1">
        <v>7.3869999999999996</v>
      </c>
      <c r="Q206" s="1">
        <v>5.3839999999999897</v>
      </c>
      <c r="R206" s="1">
        <v>7.3869999999999996</v>
      </c>
      <c r="S206" s="1">
        <v>6.6994999999999996</v>
      </c>
      <c r="T206" s="1">
        <v>6.01033333333333</v>
      </c>
      <c r="U206" s="1">
        <v>0.5</v>
      </c>
      <c r="V206" s="1">
        <v>4.8832500000000003</v>
      </c>
      <c r="W206" s="1">
        <v>2.1364999999999998</v>
      </c>
      <c r="Y206" s="1">
        <v>3.863</v>
      </c>
      <c r="Z206" s="1">
        <v>6.4969999999999999</v>
      </c>
      <c r="AA206" s="1">
        <v>5.0780000000000003</v>
      </c>
      <c r="AB206" s="1">
        <v>5.5782499999999997</v>
      </c>
    </row>
    <row r="207" spans="1:28" ht="16" x14ac:dyDescent="0.2">
      <c r="A207" s="1">
        <v>226</v>
      </c>
      <c r="B207" s="1" t="s">
        <v>318</v>
      </c>
      <c r="C207" s="1" t="s">
        <v>319</v>
      </c>
      <c r="D207" s="1" t="s">
        <v>16</v>
      </c>
      <c r="F207" s="1">
        <v>1.7449999999999899</v>
      </c>
      <c r="G207" s="1">
        <v>3.4889999999999999</v>
      </c>
      <c r="H207" s="1">
        <v>9.9589999999999996</v>
      </c>
      <c r="J207" s="1">
        <v>9.9589999999999996</v>
      </c>
      <c r="K207" s="1">
        <v>9.1029999999999998</v>
      </c>
      <c r="L207" s="1">
        <v>8.6969999999999992</v>
      </c>
      <c r="M207" s="1">
        <v>7.4785000000000004</v>
      </c>
      <c r="N207" s="1">
        <v>9.7246666666666606</v>
      </c>
      <c r="O207" s="1">
        <v>6.4949999999999903</v>
      </c>
      <c r="Q207" s="1">
        <v>9.7246666666666606</v>
      </c>
      <c r="R207" s="1">
        <v>6.4949999999999903</v>
      </c>
      <c r="S207" s="1">
        <v>9.97149999999999</v>
      </c>
      <c r="T207" s="1">
        <v>7.6826666666666599</v>
      </c>
      <c r="U207" s="1">
        <v>8.2464999999999993</v>
      </c>
      <c r="V207" s="1">
        <v>7.95425</v>
      </c>
      <c r="W207" s="1">
        <v>2.9820000000000002</v>
      </c>
      <c r="Y207" s="1">
        <v>8.4469999999999992</v>
      </c>
      <c r="Z207" s="1">
        <v>7.4224999999999897</v>
      </c>
      <c r="AA207" s="1">
        <v>5.8339999999999996</v>
      </c>
      <c r="AB207" s="1">
        <v>5.4272499999999999</v>
      </c>
    </row>
    <row r="208" spans="1:28" ht="16" x14ac:dyDescent="0.2">
      <c r="A208" s="1">
        <v>38</v>
      </c>
      <c r="B208" s="1" t="s">
        <v>320</v>
      </c>
      <c r="C208" s="1" t="s">
        <v>321</v>
      </c>
      <c r="D208" s="1" t="s">
        <v>26</v>
      </c>
      <c r="F208" s="1">
        <v>7.8744999999999896</v>
      </c>
      <c r="G208" s="1">
        <v>7.6180000000000003</v>
      </c>
      <c r="H208" s="1">
        <v>4.9370000000000003</v>
      </c>
      <c r="J208" s="1">
        <v>4.9370000000000003</v>
      </c>
      <c r="K208" s="1">
        <v>3.4870000000000001</v>
      </c>
      <c r="L208" s="1">
        <v>0</v>
      </c>
      <c r="M208" s="1">
        <v>4.4705000000000004</v>
      </c>
      <c r="N208" s="1">
        <v>6.1886666666666601</v>
      </c>
      <c r="O208" s="1">
        <v>6.4324999999999903</v>
      </c>
      <c r="Q208" s="1">
        <v>6.1886666666666601</v>
      </c>
      <c r="R208" s="1">
        <v>6.4324999999999903</v>
      </c>
      <c r="S208" s="1">
        <v>8.6180000000000003</v>
      </c>
      <c r="T208" s="1">
        <v>6.75199999999999</v>
      </c>
      <c r="U208" s="1">
        <v>3.2974999999999999</v>
      </c>
      <c r="V208" s="1">
        <v>6.1999999999999904</v>
      </c>
      <c r="W208" s="1">
        <v>4.8899999999999997</v>
      </c>
      <c r="Y208" s="1">
        <v>4.5834999999999999</v>
      </c>
      <c r="Z208" s="1">
        <v>6.1859999999999999</v>
      </c>
      <c r="AA208" s="1">
        <v>4.8574999999999999</v>
      </c>
      <c r="AB208" s="1">
        <v>5.8114999999999997</v>
      </c>
    </row>
    <row r="209" spans="1:28" ht="16" x14ac:dyDescent="0.2">
      <c r="A209" s="1">
        <v>137</v>
      </c>
      <c r="B209" s="1" t="s">
        <v>322</v>
      </c>
      <c r="C209" s="1" t="s">
        <v>323</v>
      </c>
      <c r="D209" s="1" t="s">
        <v>26</v>
      </c>
      <c r="F209" s="1">
        <v>8.2140000000000004</v>
      </c>
      <c r="G209" s="1">
        <v>6.7489999999999997</v>
      </c>
      <c r="H209" s="1">
        <v>4.8099999999999996</v>
      </c>
      <c r="J209" s="1">
        <v>4.8099999999999996</v>
      </c>
      <c r="K209" s="1">
        <v>4.0880000000000001</v>
      </c>
      <c r="L209" s="1">
        <v>1.23</v>
      </c>
      <c r="M209" s="1">
        <v>4.7205000000000004</v>
      </c>
      <c r="N209" s="1">
        <v>7.6766666666666596</v>
      </c>
      <c r="O209" s="1">
        <v>8.1839999999999993</v>
      </c>
      <c r="Q209" s="1">
        <v>7.6766666666666596</v>
      </c>
      <c r="R209" s="1">
        <v>8.1839999999999993</v>
      </c>
      <c r="S209" s="1">
        <v>8.9529999999999994</v>
      </c>
      <c r="T209" s="1">
        <v>7.6716666666666598</v>
      </c>
      <c r="U209" s="1">
        <v>4.8519999999999897</v>
      </c>
      <c r="V209" s="1">
        <v>8.6617499999999996</v>
      </c>
      <c r="W209" s="1">
        <v>2.2930000000000001</v>
      </c>
      <c r="Y209" s="1">
        <v>5.4894999999999996</v>
      </c>
      <c r="Z209" s="1">
        <v>4.7989999999999897</v>
      </c>
      <c r="AA209" s="1">
        <v>1.8225</v>
      </c>
      <c r="AB209" s="1">
        <v>5.6987500000000004</v>
      </c>
    </row>
    <row r="210" spans="1:28" ht="16" x14ac:dyDescent="0.2">
      <c r="A210" s="1">
        <v>51</v>
      </c>
      <c r="B210" s="1" t="s">
        <v>324</v>
      </c>
      <c r="C210" s="1" t="s">
        <v>325</v>
      </c>
      <c r="D210" s="1" t="s">
        <v>103</v>
      </c>
      <c r="F210" s="1">
        <v>6.7634999999999996</v>
      </c>
      <c r="G210" s="1">
        <v>7.9550000000000001</v>
      </c>
      <c r="H210" s="1">
        <v>5.1509999999999998</v>
      </c>
      <c r="J210" s="1">
        <v>5.1509999999999998</v>
      </c>
      <c r="K210" s="1">
        <v>5.6109999999999998</v>
      </c>
      <c r="L210" s="1">
        <v>3.7250000000000001</v>
      </c>
      <c r="M210" s="1">
        <v>2.7679999999999998</v>
      </c>
      <c r="N210" s="1">
        <v>4.7320000000000002</v>
      </c>
      <c r="O210" s="1">
        <v>3.6604999999999999</v>
      </c>
      <c r="Q210" s="1">
        <v>4.7320000000000002</v>
      </c>
      <c r="R210" s="1">
        <v>3.6604999999999999</v>
      </c>
      <c r="S210" s="1">
        <v>5.3279999999999896</v>
      </c>
      <c r="T210" s="1">
        <v>4.343</v>
      </c>
      <c r="U210" s="1">
        <v>0.89449999999999996</v>
      </c>
      <c r="V210" s="1">
        <v>6.6085000000000003</v>
      </c>
      <c r="W210" s="1">
        <v>2.1629999999999998</v>
      </c>
      <c r="Y210" s="1">
        <v>5.6124999999999998</v>
      </c>
      <c r="Z210" s="1">
        <v>4.7359999999999998</v>
      </c>
      <c r="AA210" s="1">
        <v>6.7504999999999997</v>
      </c>
      <c r="AB210" s="1">
        <v>3.8424999999999998</v>
      </c>
    </row>
    <row r="211" spans="1:28" ht="16" x14ac:dyDescent="0.2">
      <c r="A211" s="1">
        <v>116</v>
      </c>
      <c r="B211" s="1" t="s">
        <v>326</v>
      </c>
      <c r="C211" s="1" t="s">
        <v>325</v>
      </c>
      <c r="D211" s="1" t="s">
        <v>103</v>
      </c>
      <c r="F211" s="1">
        <v>8.0120000000000005</v>
      </c>
      <c r="G211" s="1">
        <v>7.5750000000000002</v>
      </c>
      <c r="H211" s="1">
        <v>5.1509999999999998</v>
      </c>
      <c r="J211" s="1">
        <v>5.1509999999999998</v>
      </c>
      <c r="K211" s="1">
        <v>4.9374999999999902</v>
      </c>
      <c r="L211" s="1">
        <v>1.4670000000000001</v>
      </c>
      <c r="M211" s="1">
        <v>2.7679999999999998</v>
      </c>
      <c r="N211" s="1">
        <v>4.7320000000000002</v>
      </c>
      <c r="O211" s="1">
        <v>3.6604999999999999</v>
      </c>
      <c r="Q211" s="1">
        <v>4.7320000000000002</v>
      </c>
      <c r="R211" s="1">
        <v>3.6604999999999999</v>
      </c>
      <c r="S211" s="1">
        <v>5.1654999999999998</v>
      </c>
      <c r="T211" s="1">
        <v>3.6486666666666601</v>
      </c>
      <c r="U211" s="1">
        <v>0.75849999999999995</v>
      </c>
      <c r="V211" s="1">
        <v>4.3254999999999999</v>
      </c>
      <c r="W211" s="1">
        <v>3.2029999999999998</v>
      </c>
      <c r="Y211" s="1">
        <v>2.8374999999999999</v>
      </c>
      <c r="Z211" s="1">
        <v>4.4014999999999898</v>
      </c>
      <c r="AA211" s="1">
        <v>2.956</v>
      </c>
      <c r="AB211" s="1">
        <v>3.9157500000000001</v>
      </c>
    </row>
    <row r="212" spans="1:28" ht="32" x14ac:dyDescent="0.2">
      <c r="A212" s="1">
        <v>55</v>
      </c>
      <c r="B212" s="1" t="s">
        <v>327</v>
      </c>
      <c r="C212" s="1" t="s">
        <v>328</v>
      </c>
      <c r="D212" s="1" t="s">
        <v>6</v>
      </c>
      <c r="F212" s="1">
        <v>4.6369999999999996</v>
      </c>
      <c r="G212" s="1">
        <v>3.5670000000000002</v>
      </c>
      <c r="H212" s="1">
        <v>4.0620000000000003</v>
      </c>
      <c r="J212" s="1">
        <v>4.0620000000000003</v>
      </c>
      <c r="K212" s="1">
        <v>4.92</v>
      </c>
      <c r="L212" s="1">
        <v>2.0110000000000001</v>
      </c>
      <c r="M212" s="1">
        <v>6.5145</v>
      </c>
      <c r="N212" s="1">
        <v>8.6709999999999994</v>
      </c>
      <c r="O212" s="1">
        <v>5.7709999999999999</v>
      </c>
      <c r="Q212" s="1">
        <v>8.6709999999999994</v>
      </c>
      <c r="R212" s="1">
        <v>5.7709999999999999</v>
      </c>
      <c r="S212" s="1">
        <v>5.0555000000000003</v>
      </c>
      <c r="T212" s="1">
        <v>6.7796666666666603</v>
      </c>
      <c r="U212" s="1">
        <v>3.6244999999999998</v>
      </c>
      <c r="V212" s="1">
        <v>7.2759999999999998</v>
      </c>
      <c r="W212" s="1">
        <v>1.399</v>
      </c>
      <c r="Y212" s="1">
        <v>6.093</v>
      </c>
      <c r="Z212" s="1">
        <v>6.5949999999999998</v>
      </c>
      <c r="AA212" s="1">
        <v>5.0095000000000001</v>
      </c>
      <c r="AB212" s="1">
        <v>4.6207500000000001</v>
      </c>
    </row>
    <row r="213" spans="1:28" ht="16" x14ac:dyDescent="0.2">
      <c r="A213" s="1">
        <v>223</v>
      </c>
      <c r="B213" s="1" t="s">
        <v>329</v>
      </c>
      <c r="C213" s="1" t="s">
        <v>330</v>
      </c>
      <c r="D213" s="1" t="s">
        <v>16</v>
      </c>
      <c r="F213" s="1">
        <v>6.1425000000000001</v>
      </c>
      <c r="G213" s="1">
        <v>3.698</v>
      </c>
      <c r="H213" s="1">
        <v>6.6074999999999999</v>
      </c>
      <c r="J213" s="1">
        <v>6.6074999999999999</v>
      </c>
      <c r="K213" s="1">
        <v>5.2835000000000001</v>
      </c>
      <c r="L213" s="1">
        <v>4.0659999999999998</v>
      </c>
      <c r="M213" s="1">
        <v>5.5609999999999999</v>
      </c>
      <c r="N213" s="1">
        <v>8.2793333333333301</v>
      </c>
      <c r="O213" s="1">
        <v>4.484</v>
      </c>
      <c r="Q213" s="1">
        <v>8.2793333333333301</v>
      </c>
      <c r="R213" s="1">
        <v>4.484</v>
      </c>
      <c r="S213" s="1">
        <v>8.3049999999999997</v>
      </c>
      <c r="T213" s="1">
        <v>8.5489999999999995</v>
      </c>
      <c r="U213" s="1">
        <v>6.8654999999999999</v>
      </c>
      <c r="V213" s="1">
        <v>6.7869999999999999</v>
      </c>
      <c r="W213" s="1">
        <v>6.1559999999999899</v>
      </c>
      <c r="Y213" s="1">
        <v>7.6369999999999996</v>
      </c>
      <c r="Z213" s="1">
        <v>8.1999999999999993</v>
      </c>
      <c r="AA213" s="1">
        <v>5.7759999999999998</v>
      </c>
      <c r="AB213" s="1">
        <v>5.7189999999999896</v>
      </c>
    </row>
    <row r="214" spans="1:28" ht="16" x14ac:dyDescent="0.2">
      <c r="A214" s="1">
        <v>18</v>
      </c>
      <c r="B214" s="1" t="s">
        <v>331</v>
      </c>
      <c r="C214" s="1" t="s">
        <v>332</v>
      </c>
      <c r="D214" s="1" t="s">
        <v>26</v>
      </c>
      <c r="F214" s="1">
        <v>6.3229999999999897</v>
      </c>
      <c r="G214" s="1">
        <v>6.0739999999999998</v>
      </c>
      <c r="H214" s="1">
        <v>3.8940000000000001</v>
      </c>
      <c r="J214" s="1">
        <v>3.8940000000000001</v>
      </c>
      <c r="K214" s="1">
        <v>7.7584999999999997</v>
      </c>
      <c r="L214" s="1">
        <v>5.6550000000000002</v>
      </c>
      <c r="M214" s="1">
        <v>4.2960000000000003</v>
      </c>
      <c r="N214" s="1">
        <v>7.1196666666666601</v>
      </c>
      <c r="O214" s="1">
        <v>7.4714999999999998</v>
      </c>
      <c r="Q214" s="1">
        <v>7.1196666666666601</v>
      </c>
      <c r="R214" s="1">
        <v>7.4714999999999998</v>
      </c>
      <c r="S214" s="1">
        <v>7.40749999999999</v>
      </c>
      <c r="T214" s="1">
        <v>8.4033333333333307</v>
      </c>
      <c r="U214" s="1">
        <v>5.0289999999999999</v>
      </c>
      <c r="V214" s="1">
        <v>3.6655000000000002</v>
      </c>
      <c r="W214" s="1">
        <v>5.806</v>
      </c>
      <c r="Y214" s="1">
        <v>6.4679999999999902</v>
      </c>
      <c r="Z214" s="1">
        <v>8.5914999999999893</v>
      </c>
      <c r="AA214" s="1">
        <v>5.8279999999999896</v>
      </c>
      <c r="AB214" s="1">
        <v>5.6992500000000001</v>
      </c>
    </row>
    <row r="215" spans="1:28" ht="16" x14ac:dyDescent="0.2">
      <c r="A215" s="1">
        <v>28</v>
      </c>
      <c r="B215" s="1" t="s">
        <v>333</v>
      </c>
      <c r="C215" s="1" t="s">
        <v>332</v>
      </c>
      <c r="D215" s="1" t="s">
        <v>26</v>
      </c>
      <c r="F215" s="1">
        <v>6.8879999999999999</v>
      </c>
      <c r="G215" s="1">
        <v>5.6379999999999999</v>
      </c>
      <c r="H215" s="1">
        <v>3.8940000000000001</v>
      </c>
      <c r="J215" s="1">
        <v>3.8940000000000001</v>
      </c>
      <c r="K215" s="1">
        <v>2.6680000000000001</v>
      </c>
      <c r="L215" s="1">
        <v>0</v>
      </c>
      <c r="M215" s="1">
        <v>4.2960000000000003</v>
      </c>
      <c r="N215" s="1">
        <v>7.1196666666666601</v>
      </c>
      <c r="O215" s="1">
        <v>8.6630000000000003</v>
      </c>
      <c r="Q215" s="1">
        <v>7.1196666666666601</v>
      </c>
      <c r="R215" s="1">
        <v>8.6630000000000003</v>
      </c>
      <c r="S215" s="1">
        <v>8.7805</v>
      </c>
      <c r="T215" s="1">
        <v>9.3206666666666607</v>
      </c>
      <c r="U215" s="1">
        <v>3.7589999999999999</v>
      </c>
      <c r="V215" s="1">
        <v>8.3279999999999994</v>
      </c>
      <c r="W215" s="1">
        <v>4.1734999999999998</v>
      </c>
      <c r="Y215" s="1">
        <v>5.7560000000000002</v>
      </c>
      <c r="Z215" s="1">
        <v>6.0139999999999896</v>
      </c>
      <c r="AA215" s="1">
        <v>1.4810000000000001</v>
      </c>
      <c r="AB215" s="1">
        <v>5.77475</v>
      </c>
    </row>
    <row r="216" spans="1:28" ht="48" x14ac:dyDescent="0.2">
      <c r="A216" s="1">
        <v>128</v>
      </c>
      <c r="B216" s="1" t="s">
        <v>334</v>
      </c>
      <c r="C216" s="1" t="s">
        <v>332</v>
      </c>
      <c r="D216" s="1" t="s">
        <v>26</v>
      </c>
      <c r="F216" s="1">
        <v>8.2319999999999993</v>
      </c>
      <c r="G216" s="1">
        <v>7.7169999999999996</v>
      </c>
      <c r="H216" s="1">
        <v>3.8940000000000001</v>
      </c>
      <c r="J216" s="1">
        <v>3.8940000000000001</v>
      </c>
      <c r="K216" s="1">
        <v>1.5834999999999999</v>
      </c>
      <c r="L216" s="1">
        <v>0</v>
      </c>
      <c r="M216" s="1">
        <v>4.2960000000000003</v>
      </c>
      <c r="N216" s="1">
        <v>7.1196666666666601</v>
      </c>
      <c r="O216" s="1">
        <v>9.7185000000000006</v>
      </c>
      <c r="Q216" s="1">
        <v>7.1196666666666601</v>
      </c>
      <c r="R216" s="1">
        <v>9.7185000000000006</v>
      </c>
      <c r="S216" s="1">
        <v>9.1545000000000005</v>
      </c>
      <c r="T216" s="1">
        <v>9.2143333333333306</v>
      </c>
      <c r="U216" s="1">
        <v>3.7589999999999999</v>
      </c>
      <c r="V216" s="1">
        <v>6.8604999999999903</v>
      </c>
      <c r="W216" s="1">
        <v>4.3234999999999904</v>
      </c>
      <c r="Y216" s="1">
        <v>6.1955</v>
      </c>
      <c r="Z216" s="1">
        <v>2.8144999999999998</v>
      </c>
      <c r="AA216" s="1">
        <v>5.5374999999999996</v>
      </c>
      <c r="AB216" s="1">
        <v>0</v>
      </c>
    </row>
    <row r="217" spans="1:28" ht="16" x14ac:dyDescent="0.2">
      <c r="A217" s="1">
        <v>145</v>
      </c>
      <c r="B217" s="1" t="s">
        <v>335</v>
      </c>
      <c r="C217" s="1" t="s">
        <v>332</v>
      </c>
      <c r="D217" s="1" t="s">
        <v>26</v>
      </c>
      <c r="F217" s="1">
        <v>6.4139999999999997</v>
      </c>
      <c r="G217" s="1">
        <v>6.2489999999999997</v>
      </c>
      <c r="H217" s="1">
        <v>3.8940000000000001</v>
      </c>
      <c r="J217" s="1">
        <v>3.8940000000000001</v>
      </c>
      <c r="K217" s="1">
        <v>0</v>
      </c>
      <c r="L217" s="1">
        <v>4.79</v>
      </c>
      <c r="M217" s="1">
        <v>4.2960000000000003</v>
      </c>
      <c r="N217" s="1">
        <v>7.1196666666666601</v>
      </c>
      <c r="O217" s="1">
        <v>7.665</v>
      </c>
      <c r="Q217" s="1">
        <v>7.1196666666666601</v>
      </c>
      <c r="R217" s="1">
        <v>7.665</v>
      </c>
      <c r="S217" s="1">
        <v>7.7925000000000004</v>
      </c>
      <c r="T217" s="1">
        <v>8.9163333333333306</v>
      </c>
      <c r="U217" s="1">
        <v>4.2915000000000001</v>
      </c>
      <c r="V217" s="1">
        <v>5.5655000000000001</v>
      </c>
      <c r="W217" s="1">
        <v>5.8555000000000001</v>
      </c>
      <c r="Y217" s="1">
        <v>6.2409999999999997</v>
      </c>
      <c r="Z217" s="1">
        <v>9.3379999999999992</v>
      </c>
      <c r="AA217" s="1">
        <v>6.22</v>
      </c>
      <c r="AB217" s="1">
        <v>5.2857500000000002</v>
      </c>
    </row>
    <row r="218" spans="1:28" ht="16" x14ac:dyDescent="0.2">
      <c r="A218" s="1">
        <v>146</v>
      </c>
      <c r="B218" s="1" t="s">
        <v>336</v>
      </c>
      <c r="C218" s="1" t="s">
        <v>332</v>
      </c>
      <c r="D218" s="1" t="s">
        <v>26</v>
      </c>
      <c r="F218" s="1">
        <v>8.0515000000000008</v>
      </c>
      <c r="G218" s="1">
        <v>7.375</v>
      </c>
      <c r="H218" s="1">
        <v>3.8940000000000001</v>
      </c>
      <c r="J218" s="1">
        <v>3.8940000000000001</v>
      </c>
      <c r="K218" s="1">
        <v>2.4584999999999999</v>
      </c>
      <c r="L218" s="1">
        <v>0</v>
      </c>
      <c r="M218" s="1">
        <v>4.2960000000000003</v>
      </c>
      <c r="N218" s="1">
        <v>7.1196666666666601</v>
      </c>
      <c r="O218" s="1">
        <v>7.5004999999999997</v>
      </c>
      <c r="Q218" s="1">
        <v>7.1196666666666601</v>
      </c>
      <c r="R218" s="1">
        <v>7.5004999999999997</v>
      </c>
      <c r="S218" s="1">
        <v>7.6929999999999996</v>
      </c>
      <c r="T218" s="1">
        <v>8.6556666666666597</v>
      </c>
      <c r="U218" s="1">
        <v>3.7589999999999999</v>
      </c>
      <c r="V218" s="1">
        <v>8.10825</v>
      </c>
      <c r="W218" s="1">
        <v>4.3605</v>
      </c>
      <c r="Y218" s="1">
        <v>6.1894999999999998</v>
      </c>
      <c r="Z218" s="1">
        <v>6.3890000000000002</v>
      </c>
      <c r="AA218" s="1">
        <v>5.7839999999999998</v>
      </c>
      <c r="AB218" s="1">
        <v>5.7827500000000001</v>
      </c>
    </row>
    <row r="219" spans="1:28" ht="16" x14ac:dyDescent="0.2">
      <c r="A219" s="1">
        <v>224</v>
      </c>
      <c r="B219" s="1" t="s">
        <v>337</v>
      </c>
      <c r="C219" s="1" t="s">
        <v>332</v>
      </c>
      <c r="D219" s="1" t="s">
        <v>26</v>
      </c>
      <c r="F219" s="1">
        <v>8.0954999999999995</v>
      </c>
      <c r="G219" s="1">
        <v>6.9610000000000003</v>
      </c>
      <c r="H219" s="1">
        <v>3.8940000000000001</v>
      </c>
      <c r="J219" s="1">
        <v>3.8940000000000001</v>
      </c>
      <c r="K219" s="1">
        <v>1.1475</v>
      </c>
      <c r="L219" s="1">
        <v>0</v>
      </c>
      <c r="M219" s="1">
        <v>4.2960000000000003</v>
      </c>
      <c r="N219" s="1">
        <v>7.1196666666666601</v>
      </c>
      <c r="O219" s="1">
        <v>9.2650000000000006</v>
      </c>
      <c r="Q219" s="1">
        <v>7.1196666666666601</v>
      </c>
      <c r="R219" s="1">
        <v>9.2650000000000006</v>
      </c>
      <c r="S219" s="1">
        <v>8.9294999999999902</v>
      </c>
      <c r="T219" s="1">
        <v>8.2213333333333303</v>
      </c>
      <c r="U219" s="1">
        <v>4.2595000000000001</v>
      </c>
      <c r="V219" s="1">
        <v>7.22074999999999</v>
      </c>
      <c r="W219" s="1">
        <v>3.4769999999999999</v>
      </c>
      <c r="Y219" s="1">
        <v>6.1894999999999998</v>
      </c>
      <c r="Z219" s="1">
        <v>7.4160000000000004</v>
      </c>
      <c r="AA219" s="1">
        <v>3.0329999999999999</v>
      </c>
      <c r="AB219" s="1">
        <v>5.5670000000000002</v>
      </c>
    </row>
    <row r="220" spans="1:28" ht="16" x14ac:dyDescent="0.2">
      <c r="A220" s="1">
        <v>252</v>
      </c>
      <c r="B220" s="1" t="s">
        <v>338</v>
      </c>
      <c r="C220" s="1" t="s">
        <v>332</v>
      </c>
      <c r="D220" s="1" t="s">
        <v>26</v>
      </c>
      <c r="F220" s="1">
        <v>8.1355000000000004</v>
      </c>
      <c r="G220" s="1">
        <v>6.8719999999999999</v>
      </c>
      <c r="H220" s="1">
        <v>3.8940000000000001</v>
      </c>
      <c r="J220" s="1">
        <v>3.8940000000000001</v>
      </c>
      <c r="K220" s="1">
        <v>1.7469999999999899</v>
      </c>
      <c r="L220" s="1">
        <v>2.58299999999999</v>
      </c>
      <c r="M220" s="1">
        <v>4.2960000000000003</v>
      </c>
      <c r="N220" s="1">
        <v>7.1196666666666601</v>
      </c>
      <c r="O220" s="1">
        <v>7.9349999999999996</v>
      </c>
      <c r="Q220" s="1">
        <v>7.1196666666666601</v>
      </c>
      <c r="R220" s="1">
        <v>7.9349999999999996</v>
      </c>
      <c r="S220" s="1">
        <v>7.7864999999999904</v>
      </c>
      <c r="T220" s="1">
        <v>8.8856666666666602</v>
      </c>
      <c r="U220" s="1">
        <v>4.266</v>
      </c>
      <c r="V220" s="1">
        <v>5.9422499999999996</v>
      </c>
      <c r="W220" s="1">
        <v>3.484</v>
      </c>
      <c r="Y220" s="1">
        <v>9.14</v>
      </c>
      <c r="Z220" s="1">
        <v>7.0780000000000003</v>
      </c>
      <c r="AA220" s="1">
        <v>6.3315000000000001</v>
      </c>
      <c r="AB220" s="1">
        <v>5.8090000000000002</v>
      </c>
    </row>
    <row r="221" spans="1:28" ht="16" x14ac:dyDescent="0.2">
      <c r="A221" s="1">
        <v>97</v>
      </c>
      <c r="B221" s="1" t="s">
        <v>339</v>
      </c>
      <c r="C221" s="1" t="s">
        <v>340</v>
      </c>
      <c r="D221" s="1" t="s">
        <v>26</v>
      </c>
      <c r="F221" s="1">
        <v>6.7249999999999996</v>
      </c>
      <c r="G221" s="1">
        <v>5.0460000000000003</v>
      </c>
      <c r="H221" s="1">
        <v>2.7494999999999998</v>
      </c>
      <c r="J221" s="1">
        <v>2.7494999999999998</v>
      </c>
      <c r="K221" s="1">
        <v>3.1284999999999998</v>
      </c>
      <c r="L221" s="1">
        <v>3.7250000000000001</v>
      </c>
      <c r="M221" s="1">
        <v>5.6944999999999899</v>
      </c>
      <c r="N221" s="1">
        <v>9.5689999999999902</v>
      </c>
      <c r="O221" s="1">
        <v>6.3644999999999996</v>
      </c>
      <c r="Q221" s="1">
        <v>9.5689999999999902</v>
      </c>
      <c r="R221" s="1">
        <v>6.3644999999999996</v>
      </c>
      <c r="S221" s="1">
        <v>7.2960000000000003</v>
      </c>
      <c r="T221" s="1">
        <v>8.1016666666666595</v>
      </c>
      <c r="U221" s="1">
        <v>4.7774999999999999</v>
      </c>
      <c r="V221" s="1">
        <v>8.5897500000000004</v>
      </c>
      <c r="W221" s="1">
        <v>3.65749999999999</v>
      </c>
      <c r="Y221" s="1">
        <v>6.1924999999999999</v>
      </c>
      <c r="Z221" s="1">
        <v>4.0045000000000002</v>
      </c>
      <c r="AA221" s="1">
        <v>4.5685000000000002</v>
      </c>
      <c r="AB221" s="1">
        <v>5.96875</v>
      </c>
    </row>
    <row r="222" spans="1:28" ht="16" x14ac:dyDescent="0.2">
      <c r="A222" s="1">
        <v>147</v>
      </c>
      <c r="B222" s="1" t="s">
        <v>341</v>
      </c>
      <c r="C222" s="1" t="s">
        <v>340</v>
      </c>
      <c r="D222" s="1" t="s">
        <v>26</v>
      </c>
      <c r="F222" s="1">
        <v>7.2629999999999999</v>
      </c>
      <c r="G222" s="1">
        <v>5.57</v>
      </c>
      <c r="H222" s="1">
        <v>2.7494999999999998</v>
      </c>
      <c r="J222" s="1">
        <v>2.7494999999999998</v>
      </c>
      <c r="K222" s="1">
        <v>3.6449999999999898</v>
      </c>
      <c r="L222" s="1">
        <v>2.6829999999999998</v>
      </c>
      <c r="M222" s="1">
        <v>5.6944999999999899</v>
      </c>
      <c r="N222" s="1">
        <v>9.5689999999999902</v>
      </c>
      <c r="O222" s="1">
        <v>5.3040000000000003</v>
      </c>
      <c r="Q222" s="1">
        <v>9.5689999999999902</v>
      </c>
      <c r="R222" s="1">
        <v>5.3040000000000003</v>
      </c>
      <c r="S222" s="1">
        <v>6.5979999999999999</v>
      </c>
      <c r="T222" s="1">
        <v>8.2149999999999999</v>
      </c>
      <c r="U222" s="1">
        <v>3.8929999999999998</v>
      </c>
      <c r="V222" s="1">
        <v>9.2055000000000007</v>
      </c>
      <c r="W222" s="1">
        <v>4.7675000000000001</v>
      </c>
      <c r="Y222" s="1">
        <v>8.21999999999999</v>
      </c>
      <c r="Z222" s="1">
        <v>2.3445</v>
      </c>
      <c r="AA222" s="1">
        <v>4.524</v>
      </c>
      <c r="AB222" s="1">
        <v>5.6467499999999999</v>
      </c>
    </row>
    <row r="223" spans="1:28" ht="16" x14ac:dyDescent="0.2">
      <c r="A223" s="1">
        <v>230</v>
      </c>
      <c r="B223" s="1" t="s">
        <v>342</v>
      </c>
      <c r="C223" s="1" t="s">
        <v>340</v>
      </c>
      <c r="D223" s="1" t="s">
        <v>26</v>
      </c>
      <c r="F223" s="1">
        <v>4.8650000000000002</v>
      </c>
      <c r="G223" s="1">
        <v>4.3600000000000003</v>
      </c>
      <c r="H223" s="1">
        <v>2.7494999999999998</v>
      </c>
      <c r="J223" s="1">
        <v>2.7494999999999998</v>
      </c>
      <c r="K223" s="1">
        <v>6.2670000000000003</v>
      </c>
      <c r="L223" s="1">
        <v>6.2290000000000001</v>
      </c>
      <c r="M223" s="1">
        <v>5.6944999999999899</v>
      </c>
      <c r="N223" s="1">
        <v>9.5689999999999902</v>
      </c>
      <c r="O223" s="1">
        <v>5.7195</v>
      </c>
      <c r="Q223" s="1">
        <v>9.5689999999999902</v>
      </c>
      <c r="R223" s="1">
        <v>5.7195</v>
      </c>
      <c r="S223" s="1">
        <v>6.8864999999999998</v>
      </c>
      <c r="T223" s="1">
        <v>8.0393333333333299</v>
      </c>
      <c r="U223" s="1">
        <v>6.6675000000000004</v>
      </c>
      <c r="V223" s="1">
        <v>8.9917499999999997</v>
      </c>
      <c r="W223" s="1">
        <v>6.2255000000000003</v>
      </c>
      <c r="Y223" s="1">
        <v>7.6135000000000002</v>
      </c>
      <c r="Z223" s="1">
        <v>6.7974999999999897</v>
      </c>
      <c r="AA223" s="1">
        <v>4.4939999999999998</v>
      </c>
      <c r="AB223" s="1">
        <v>5.6855000000000002</v>
      </c>
    </row>
    <row r="224" spans="1:28" ht="16" x14ac:dyDescent="0.2">
      <c r="A224" s="1">
        <v>250</v>
      </c>
      <c r="B224" s="1" t="s">
        <v>343</v>
      </c>
      <c r="C224" s="1" t="s">
        <v>340</v>
      </c>
      <c r="D224" s="1" t="s">
        <v>26</v>
      </c>
      <c r="F224" s="1">
        <v>7.16</v>
      </c>
      <c r="G224" s="1">
        <v>5.4420000000000002</v>
      </c>
      <c r="H224" s="1">
        <v>2.7494999999999998</v>
      </c>
      <c r="J224" s="1">
        <v>2.7494999999999998</v>
      </c>
      <c r="K224" s="1">
        <v>1.4285000000000001</v>
      </c>
      <c r="L224" s="1">
        <v>0</v>
      </c>
      <c r="M224" s="1">
        <v>5.6944999999999899</v>
      </c>
      <c r="N224" s="1">
        <v>9.5689999999999902</v>
      </c>
      <c r="O224" s="1">
        <v>6.9504999999999999</v>
      </c>
      <c r="Q224" s="1">
        <v>9.5689999999999902</v>
      </c>
      <c r="R224" s="1">
        <v>6.9504999999999999</v>
      </c>
      <c r="S224" s="1">
        <v>7.85</v>
      </c>
      <c r="T224" s="1">
        <v>8.1526666666666596</v>
      </c>
      <c r="U224" s="1">
        <v>5.2044999999999897</v>
      </c>
      <c r="V224" s="1">
        <v>8.5815000000000001</v>
      </c>
      <c r="W224" s="1">
        <v>4.7484999999999999</v>
      </c>
      <c r="Y224" s="1">
        <v>5.8540000000000001</v>
      </c>
      <c r="Z224" s="1">
        <v>3.427</v>
      </c>
      <c r="AA224" s="1">
        <v>3.4664999999999999</v>
      </c>
      <c r="AB224" s="1">
        <v>5.9749999999999996</v>
      </c>
    </row>
    <row r="225" spans="1:28" ht="16" x14ac:dyDescent="0.2">
      <c r="A225" s="1">
        <v>27</v>
      </c>
      <c r="B225" s="1" t="s">
        <v>344</v>
      </c>
      <c r="C225" s="1" t="s">
        <v>345</v>
      </c>
      <c r="D225" s="1" t="s">
        <v>26</v>
      </c>
      <c r="F225" s="1">
        <v>4.9225000000000003</v>
      </c>
      <c r="G225" s="1">
        <v>1</v>
      </c>
      <c r="H225" s="1">
        <v>6.4284999999999997</v>
      </c>
      <c r="J225" s="1">
        <v>6.4284999999999997</v>
      </c>
      <c r="K225" s="1">
        <v>2.6875</v>
      </c>
      <c r="L225" s="1">
        <v>0</v>
      </c>
      <c r="M225" s="1">
        <v>6.5519999999999996</v>
      </c>
      <c r="N225" s="1">
        <v>8.8879999999999999</v>
      </c>
      <c r="O225" s="1">
        <v>8.5890000000000004</v>
      </c>
      <c r="Q225" s="1">
        <v>8.8879999999999999</v>
      </c>
      <c r="R225" s="1">
        <v>8.5890000000000004</v>
      </c>
      <c r="S225" s="1">
        <v>9.266</v>
      </c>
      <c r="T225" s="1">
        <v>7.5203333333333298</v>
      </c>
      <c r="U225" s="1">
        <v>5.3454999999999897</v>
      </c>
      <c r="V225" s="1">
        <v>9.2445000000000004</v>
      </c>
      <c r="W225" s="1">
        <v>5.2634999999999996</v>
      </c>
      <c r="Y225" s="1">
        <v>6.1144999999999996</v>
      </c>
      <c r="Z225" s="1">
        <v>4.2450000000000001</v>
      </c>
      <c r="AA225" s="1">
        <v>2.1225000000000001</v>
      </c>
      <c r="AB225" s="1">
        <v>5.1977500000000001</v>
      </c>
    </row>
    <row r="226" spans="1:28" ht="16" x14ac:dyDescent="0.2">
      <c r="A226" s="1">
        <v>94</v>
      </c>
      <c r="B226" s="1" t="s">
        <v>346</v>
      </c>
      <c r="C226" s="1" t="s">
        <v>345</v>
      </c>
      <c r="D226" s="1" t="s">
        <v>26</v>
      </c>
      <c r="F226" s="1">
        <v>1.0774999999999999</v>
      </c>
      <c r="G226" s="1">
        <v>1</v>
      </c>
      <c r="H226" s="1">
        <v>6.4284999999999997</v>
      </c>
      <c r="J226" s="1">
        <v>6.4284999999999997</v>
      </c>
      <c r="K226" s="1">
        <v>4.6920000000000002</v>
      </c>
      <c r="L226" s="1">
        <v>3.089</v>
      </c>
      <c r="M226" s="1">
        <v>6.5519999999999996</v>
      </c>
      <c r="N226" s="1">
        <v>8.8879999999999999</v>
      </c>
      <c r="O226" s="1">
        <v>8.6204999999999998</v>
      </c>
      <c r="Q226" s="1">
        <v>8.8879999999999999</v>
      </c>
      <c r="R226" s="1">
        <v>8.6204999999999998</v>
      </c>
      <c r="S226" s="1">
        <v>8.4269999999999996</v>
      </c>
      <c r="T226" s="1">
        <v>7.4429999999999996</v>
      </c>
      <c r="U226" s="1">
        <v>5.1859999999999999</v>
      </c>
      <c r="V226" s="1">
        <v>8.6017499999999991</v>
      </c>
      <c r="W226" s="1">
        <v>5.8665000000000003</v>
      </c>
      <c r="Y226" s="1">
        <v>8.3784999999999901</v>
      </c>
      <c r="Z226" s="1">
        <v>5.2439999999999998</v>
      </c>
      <c r="AA226" s="1">
        <v>6.5534999999999997</v>
      </c>
      <c r="AB226" s="1">
        <v>6.0030000000000001</v>
      </c>
    </row>
    <row r="227" spans="1:28" ht="16" x14ac:dyDescent="0.2">
      <c r="A227" s="1">
        <v>130</v>
      </c>
      <c r="B227" s="1" t="s">
        <v>347</v>
      </c>
      <c r="C227" s="1" t="s">
        <v>345</v>
      </c>
      <c r="D227" s="1" t="s">
        <v>26</v>
      </c>
      <c r="F227" s="1">
        <v>4.0754999999999999</v>
      </c>
      <c r="G227" s="1">
        <v>1</v>
      </c>
      <c r="H227" s="1">
        <v>6.4284999999999997</v>
      </c>
      <c r="J227" s="1">
        <v>6.4284999999999997</v>
      </c>
      <c r="K227" s="1">
        <v>3.8220000000000001</v>
      </c>
      <c r="L227" s="1">
        <v>3.3079999999999998</v>
      </c>
      <c r="M227" s="1">
        <v>6.5519999999999996</v>
      </c>
      <c r="N227" s="1">
        <v>8.8879999999999999</v>
      </c>
      <c r="O227" s="1">
        <v>8.4535</v>
      </c>
      <c r="Q227" s="1">
        <v>8.8879999999999999</v>
      </c>
      <c r="R227" s="1">
        <v>8.4535</v>
      </c>
      <c r="S227" s="1">
        <v>8.03249999999999</v>
      </c>
      <c r="T227" s="1">
        <v>7.3519999999999897</v>
      </c>
      <c r="U227" s="1">
        <v>6.6219999999999999</v>
      </c>
      <c r="V227" s="1">
        <v>8.8097499999999993</v>
      </c>
      <c r="W227" s="1">
        <v>6.5145</v>
      </c>
      <c r="Y227" s="1">
        <v>4.1459999999999999</v>
      </c>
      <c r="Z227" s="1">
        <v>4.2220000000000004</v>
      </c>
      <c r="AA227" s="1">
        <v>5.3379999999999903</v>
      </c>
      <c r="AB227" s="1">
        <v>5.85825</v>
      </c>
    </row>
    <row r="228" spans="1:28" ht="16" x14ac:dyDescent="0.2">
      <c r="A228" s="1">
        <v>265</v>
      </c>
      <c r="B228" s="1" t="s">
        <v>348</v>
      </c>
      <c r="C228" s="1" t="s">
        <v>345</v>
      </c>
      <c r="D228" s="1" t="s">
        <v>26</v>
      </c>
      <c r="F228" s="1">
        <v>1.4730000000000001</v>
      </c>
      <c r="G228" s="1">
        <v>1</v>
      </c>
      <c r="H228" s="1">
        <v>6.4284999999999997</v>
      </c>
      <c r="J228" s="1">
        <v>6.4284999999999997</v>
      </c>
      <c r="K228" s="1">
        <v>6.2035</v>
      </c>
      <c r="L228" s="1">
        <v>3.8719999999999999</v>
      </c>
      <c r="M228" s="1">
        <v>6.5519999999999996</v>
      </c>
      <c r="N228" s="1">
        <v>8.8879999999999999</v>
      </c>
      <c r="O228" s="1">
        <v>8.7844999999999995</v>
      </c>
      <c r="Q228" s="1">
        <v>8.8879999999999999</v>
      </c>
      <c r="R228" s="1">
        <v>8.7844999999999995</v>
      </c>
      <c r="S228" s="1">
        <v>9.0664999999999996</v>
      </c>
      <c r="T228" s="1">
        <v>7.6703333333333301</v>
      </c>
      <c r="U228" s="1">
        <v>7.2874999999999996</v>
      </c>
      <c r="V228" s="1">
        <v>8.64299999999999</v>
      </c>
      <c r="W228" s="1">
        <v>7.7334999999999896</v>
      </c>
      <c r="Y228" s="1">
        <v>7.2675000000000001</v>
      </c>
      <c r="Z228" s="1">
        <v>4.9654999999999996</v>
      </c>
      <c r="AA228" s="1">
        <v>5.4009999999999998</v>
      </c>
      <c r="AB228" s="1">
        <v>5.8394999999999904</v>
      </c>
    </row>
    <row r="229" spans="1:28" ht="16" x14ac:dyDescent="0.2">
      <c r="A229" s="1">
        <v>233</v>
      </c>
      <c r="B229" s="1" t="s">
        <v>349</v>
      </c>
      <c r="C229" s="1" t="s">
        <v>350</v>
      </c>
      <c r="D229" s="1" t="s">
        <v>16</v>
      </c>
      <c r="F229" s="1">
        <v>7.9770000000000003</v>
      </c>
      <c r="G229" s="1">
        <v>5.6440000000000001</v>
      </c>
      <c r="H229" s="1">
        <v>7.3330000000000002</v>
      </c>
      <c r="J229" s="1">
        <v>7.3330000000000002</v>
      </c>
      <c r="K229" s="1">
        <v>5.4684999999999997</v>
      </c>
      <c r="L229" s="1">
        <v>2.7810000000000001</v>
      </c>
      <c r="M229" s="1">
        <v>6.6354999999999897</v>
      </c>
      <c r="N229" s="1">
        <v>8.3416666666666597</v>
      </c>
      <c r="O229" s="1">
        <v>8.0434999999999999</v>
      </c>
      <c r="Q229" s="1">
        <v>8.3416666666666597</v>
      </c>
      <c r="R229" s="1">
        <v>8.0434999999999999</v>
      </c>
      <c r="S229" s="1">
        <v>9.5419999999999998</v>
      </c>
      <c r="T229" s="1">
        <v>5.9053333333333304</v>
      </c>
      <c r="U229" s="1">
        <v>5.5895000000000001</v>
      </c>
      <c r="V229" s="1">
        <v>6.2357499999999897</v>
      </c>
      <c r="W229" s="1">
        <v>2.5105</v>
      </c>
      <c r="Y229" s="1">
        <v>5.2314999999999996</v>
      </c>
      <c r="Z229" s="1">
        <v>7.2634999999999996</v>
      </c>
      <c r="AA229" s="1">
        <v>5.5884999999999998</v>
      </c>
      <c r="AB229" s="1">
        <v>5.6064999999999996</v>
      </c>
    </row>
    <row r="230" spans="1:28" ht="16" x14ac:dyDescent="0.2">
      <c r="A230" s="1">
        <v>73</v>
      </c>
      <c r="B230" s="1" t="s">
        <v>351</v>
      </c>
      <c r="C230" s="1" t="s">
        <v>352</v>
      </c>
      <c r="D230" s="1" t="s">
        <v>103</v>
      </c>
      <c r="F230" s="1">
        <v>7.6520000000000001</v>
      </c>
      <c r="G230" s="1">
        <v>8.0259999999999998</v>
      </c>
      <c r="H230" s="1">
        <v>4.4969999999999999</v>
      </c>
      <c r="J230" s="1">
        <v>4.4969999999999999</v>
      </c>
      <c r="K230" s="1">
        <v>2.6875</v>
      </c>
      <c r="L230" s="1">
        <v>3.1909999999999998</v>
      </c>
      <c r="M230" s="1">
        <v>5.4999999999999902</v>
      </c>
      <c r="N230" s="1">
        <v>3.2886666666666602</v>
      </c>
      <c r="O230" s="1">
        <v>2.7665000000000002</v>
      </c>
      <c r="Q230" s="1">
        <v>3.2886666666666602</v>
      </c>
      <c r="R230" s="1">
        <v>2.7665000000000002</v>
      </c>
      <c r="S230" s="1">
        <v>6.1005000000000003</v>
      </c>
      <c r="T230" s="1">
        <v>3.2386666666666599</v>
      </c>
      <c r="U230" s="1">
        <v>0</v>
      </c>
      <c r="V230" s="1">
        <v>2.0802499999999999</v>
      </c>
      <c r="W230" s="1">
        <v>1.4535</v>
      </c>
      <c r="Y230" s="1">
        <v>1.1100000000000001</v>
      </c>
      <c r="Z230" s="1">
        <v>1.2050000000000001</v>
      </c>
      <c r="AA230" s="1">
        <v>4.3535000000000004</v>
      </c>
      <c r="AB230" s="1">
        <v>2.07574999999999</v>
      </c>
    </row>
    <row r="231" spans="1:28" ht="16" x14ac:dyDescent="0.2">
      <c r="A231" s="1">
        <v>57</v>
      </c>
      <c r="B231" s="1" t="s">
        <v>353</v>
      </c>
      <c r="C231" s="1" t="s">
        <v>354</v>
      </c>
      <c r="D231" s="1" t="s">
        <v>6</v>
      </c>
      <c r="F231" s="1">
        <v>6.782</v>
      </c>
      <c r="G231" s="1">
        <v>6.1210000000000004</v>
      </c>
      <c r="H231" s="1">
        <v>4.7720000000000002</v>
      </c>
      <c r="J231" s="1">
        <v>4.7720000000000002</v>
      </c>
      <c r="K231" s="1">
        <v>3.9094999999999902</v>
      </c>
      <c r="L231" s="1">
        <v>2.2280000000000002</v>
      </c>
      <c r="M231" s="1">
        <v>6.5145</v>
      </c>
      <c r="N231" s="1">
        <v>8.6709999999999994</v>
      </c>
      <c r="O231" s="1">
        <v>4.7925000000000004</v>
      </c>
      <c r="Q231" s="1">
        <v>8.6709999999999994</v>
      </c>
      <c r="R231" s="1">
        <v>4.7925000000000004</v>
      </c>
      <c r="S231" s="1">
        <v>4.468</v>
      </c>
      <c r="T231" s="1">
        <v>6.2429999999999897</v>
      </c>
      <c r="U231" s="1">
        <v>3.6244999999999998</v>
      </c>
      <c r="V231" s="1">
        <v>7.1515000000000004</v>
      </c>
      <c r="W231" s="1">
        <v>1.2095</v>
      </c>
      <c r="Y231" s="1">
        <v>8.3650000000000002</v>
      </c>
      <c r="Z231" s="1">
        <v>4.1624999999999996</v>
      </c>
      <c r="AA231" s="1">
        <v>3.9079999999999999</v>
      </c>
      <c r="AB231" s="1">
        <v>0.79699999999999904</v>
      </c>
    </row>
    <row r="232" spans="1:28" ht="16" x14ac:dyDescent="0.2">
      <c r="A232" s="1">
        <v>122</v>
      </c>
      <c r="B232" s="1" t="s">
        <v>355</v>
      </c>
      <c r="C232" s="1" t="s">
        <v>354</v>
      </c>
      <c r="D232" s="1" t="s">
        <v>6</v>
      </c>
      <c r="F232" s="1">
        <v>6.9754999999999896</v>
      </c>
      <c r="G232" s="1">
        <v>6.4470000000000001</v>
      </c>
      <c r="H232" s="1">
        <v>4.7720000000000002</v>
      </c>
      <c r="J232" s="1">
        <v>4.7720000000000002</v>
      </c>
      <c r="K232" s="1">
        <v>3.5165000000000002</v>
      </c>
      <c r="L232" s="1">
        <v>0</v>
      </c>
      <c r="M232" s="1">
        <v>6.5145</v>
      </c>
      <c r="N232" s="1">
        <v>8.6709999999999994</v>
      </c>
      <c r="O232" s="1">
        <v>5.4024999999999999</v>
      </c>
      <c r="Q232" s="1">
        <v>8.6709999999999994</v>
      </c>
      <c r="R232" s="1">
        <v>5.4024999999999999</v>
      </c>
      <c r="S232" s="1">
        <v>5.1295000000000002</v>
      </c>
      <c r="T232" s="1">
        <v>6.4216666666666598</v>
      </c>
      <c r="U232" s="1">
        <v>4.2119999999999997</v>
      </c>
      <c r="V232" s="1">
        <v>3.72324999999999</v>
      </c>
      <c r="W232" s="1">
        <v>1.379</v>
      </c>
      <c r="Y232" s="1">
        <v>7.0924999999999896</v>
      </c>
      <c r="Z232" s="1">
        <v>4.4954999999999998</v>
      </c>
      <c r="AA232" s="1">
        <v>1.7524999999999999</v>
      </c>
      <c r="AB232" s="1">
        <v>1.9430000000000001</v>
      </c>
    </row>
    <row r="233" spans="1:28" ht="16" x14ac:dyDescent="0.2">
      <c r="A233" s="1">
        <v>154</v>
      </c>
      <c r="B233" s="1" t="s">
        <v>356</v>
      </c>
      <c r="C233" s="1" t="s">
        <v>354</v>
      </c>
      <c r="D233" s="1" t="s">
        <v>6</v>
      </c>
      <c r="F233" s="1">
        <v>7.1144999999999996</v>
      </c>
      <c r="G233" s="1">
        <v>5.8289999999999997</v>
      </c>
      <c r="H233" s="1">
        <v>4.7720000000000002</v>
      </c>
      <c r="J233" s="1">
        <v>4.7720000000000002</v>
      </c>
      <c r="K233" s="1">
        <v>4.4494999999999898</v>
      </c>
      <c r="L233" s="1">
        <v>0</v>
      </c>
      <c r="M233" s="1">
        <v>6.5145</v>
      </c>
      <c r="N233" s="1">
        <v>8.6709999999999994</v>
      </c>
      <c r="O233" s="1">
        <v>4.0404999999999998</v>
      </c>
      <c r="Q233" s="1">
        <v>8.6709999999999994</v>
      </c>
      <c r="R233" s="1">
        <v>4.0404999999999998</v>
      </c>
      <c r="S233" s="1">
        <v>2.8584999999999998</v>
      </c>
      <c r="T233" s="1">
        <v>4.9513333333333298</v>
      </c>
      <c r="U233" s="1">
        <v>3.6244999999999998</v>
      </c>
      <c r="V233" s="1">
        <v>4.5452499999999896</v>
      </c>
      <c r="W233" s="1">
        <v>1.6615</v>
      </c>
      <c r="Y233" s="1">
        <v>6.07</v>
      </c>
      <c r="Z233" s="1">
        <v>6.8604999999999903</v>
      </c>
      <c r="AA233" s="1">
        <v>3.5694999999999899</v>
      </c>
      <c r="AB233" s="1">
        <v>1.9175</v>
      </c>
    </row>
    <row r="234" spans="1:28" ht="16" x14ac:dyDescent="0.2">
      <c r="A234" s="1">
        <v>169</v>
      </c>
      <c r="B234" s="1" t="s">
        <v>357</v>
      </c>
      <c r="C234" s="1" t="s">
        <v>354</v>
      </c>
      <c r="D234" s="1" t="s">
        <v>6</v>
      </c>
      <c r="F234" s="1">
        <v>4.4545000000000003</v>
      </c>
      <c r="G234" s="1">
        <v>5.742</v>
      </c>
      <c r="H234" s="1">
        <v>4.7720000000000002</v>
      </c>
      <c r="J234" s="1">
        <v>4.7720000000000002</v>
      </c>
      <c r="K234" s="1">
        <v>6.06</v>
      </c>
      <c r="L234" s="1">
        <v>3.569</v>
      </c>
      <c r="M234" s="1">
        <v>6.5145</v>
      </c>
      <c r="N234" s="1">
        <v>8.6709999999999994</v>
      </c>
      <c r="O234" s="1">
        <v>6.8075000000000001</v>
      </c>
      <c r="Q234" s="1">
        <v>8.6709999999999994</v>
      </c>
      <c r="R234" s="1">
        <v>6.8075000000000001</v>
      </c>
      <c r="S234" s="1">
        <v>5.0780000000000003</v>
      </c>
      <c r="T234" s="1">
        <v>5.9529999999999896</v>
      </c>
      <c r="U234" s="1">
        <v>4.7329999999999997</v>
      </c>
      <c r="V234" s="1">
        <v>7.05649999999999</v>
      </c>
      <c r="W234" s="1">
        <v>1.9079999999999999</v>
      </c>
      <c r="Y234" s="1">
        <v>6.6369999999999996</v>
      </c>
      <c r="Z234" s="1">
        <v>7.02</v>
      </c>
      <c r="AA234" s="1">
        <v>1.2734999999999901</v>
      </c>
      <c r="AB234" s="1">
        <v>4.5010000000000003</v>
      </c>
    </row>
    <row r="235" spans="1:28" ht="16" x14ac:dyDescent="0.2">
      <c r="A235" s="1">
        <v>13</v>
      </c>
      <c r="B235" s="1" t="s">
        <v>358</v>
      </c>
      <c r="C235" s="1" t="s">
        <v>359</v>
      </c>
      <c r="D235" s="1" t="s">
        <v>6</v>
      </c>
      <c r="F235" s="1">
        <v>4.3345000000000002</v>
      </c>
      <c r="G235" s="1">
        <v>5.3549999999999898</v>
      </c>
      <c r="H235" s="1">
        <v>4.7720000000000002</v>
      </c>
      <c r="J235" s="1">
        <v>4.7720000000000002</v>
      </c>
      <c r="K235" s="1">
        <v>9.2360000000000007</v>
      </c>
      <c r="L235" s="1">
        <v>6.9390000000000001</v>
      </c>
      <c r="M235" s="1">
        <v>6.5145</v>
      </c>
      <c r="N235" s="1">
        <v>8.6709999999999994</v>
      </c>
      <c r="O235" s="1">
        <v>6.7895000000000003</v>
      </c>
      <c r="Q235" s="1">
        <v>8.6709999999999994</v>
      </c>
      <c r="R235" s="1">
        <v>6.7895000000000003</v>
      </c>
      <c r="S235" s="1">
        <v>5.069</v>
      </c>
      <c r="T235" s="1">
        <v>6.2816666666666601</v>
      </c>
      <c r="U235" s="1">
        <v>5.3150000000000004</v>
      </c>
      <c r="V235" s="1">
        <v>7.0307500000000003</v>
      </c>
      <c r="W235" s="1">
        <v>1.8514999999999999</v>
      </c>
      <c r="Y235" s="1">
        <v>9.0489999999999995</v>
      </c>
      <c r="Z235" s="1">
        <v>6.6979999999999897</v>
      </c>
      <c r="AA235" s="1">
        <v>3.9089999999999998</v>
      </c>
      <c r="AB235" s="1">
        <v>4.3304999999999998</v>
      </c>
    </row>
    <row r="236" spans="1:28" ht="16" x14ac:dyDescent="0.2">
      <c r="A236" s="1">
        <v>72</v>
      </c>
      <c r="B236" s="1" t="s">
        <v>360</v>
      </c>
      <c r="C236" s="1" t="s">
        <v>359</v>
      </c>
      <c r="D236" s="1" t="s">
        <v>6</v>
      </c>
      <c r="F236" s="1">
        <v>5.2590000000000003</v>
      </c>
      <c r="G236" s="1">
        <v>6.0909999999999904</v>
      </c>
      <c r="H236" s="1">
        <v>4.7720000000000002</v>
      </c>
      <c r="J236" s="1">
        <v>4.7720000000000002</v>
      </c>
      <c r="K236" s="1">
        <v>7.9394999999999998</v>
      </c>
      <c r="L236" s="1">
        <v>4.9159999999999897</v>
      </c>
      <c r="M236" s="1">
        <v>6.5145</v>
      </c>
      <c r="N236" s="1">
        <v>8.6709999999999994</v>
      </c>
      <c r="O236" s="1">
        <v>5.2939999999999996</v>
      </c>
      <c r="Q236" s="1">
        <v>8.6709999999999994</v>
      </c>
      <c r="R236" s="1">
        <v>5.2939999999999996</v>
      </c>
      <c r="S236" s="1">
        <v>4.3389999999999898</v>
      </c>
      <c r="T236" s="1">
        <v>6.0866666666666598</v>
      </c>
      <c r="U236" s="1">
        <v>4.2839999999999998</v>
      </c>
      <c r="V236" s="1">
        <v>6.6929999999999996</v>
      </c>
      <c r="W236" s="1">
        <v>4.7464999999999904</v>
      </c>
      <c r="Y236" s="1">
        <v>6.4609999999999896</v>
      </c>
      <c r="Z236" s="1">
        <v>7.1684999999999999</v>
      </c>
      <c r="AA236" s="1">
        <v>4.50199999999999</v>
      </c>
      <c r="AB236" s="1">
        <v>4.4704999999999897</v>
      </c>
    </row>
    <row r="237" spans="1:28" ht="16" x14ac:dyDescent="0.2">
      <c r="A237" s="1">
        <v>109</v>
      </c>
      <c r="B237" s="1" t="s">
        <v>361</v>
      </c>
      <c r="C237" s="1" t="s">
        <v>359</v>
      </c>
      <c r="D237" s="1" t="s">
        <v>6</v>
      </c>
      <c r="F237" s="1">
        <v>5.2244999999999999</v>
      </c>
      <c r="G237" s="1">
        <v>6.1619999999999999</v>
      </c>
      <c r="H237" s="1">
        <v>4.7720000000000002</v>
      </c>
      <c r="J237" s="1">
        <v>4.7720000000000002</v>
      </c>
      <c r="K237" s="1">
        <v>7.9344999999999999</v>
      </c>
      <c r="L237" s="1">
        <v>4.4740000000000002</v>
      </c>
      <c r="M237" s="1">
        <v>6.5145</v>
      </c>
      <c r="N237" s="1">
        <v>8.6709999999999994</v>
      </c>
      <c r="O237" s="1">
        <v>5.34</v>
      </c>
      <c r="Q237" s="1">
        <v>8.6709999999999994</v>
      </c>
      <c r="R237" s="1">
        <v>5.34</v>
      </c>
      <c r="S237" s="1">
        <v>3.1289999999999898</v>
      </c>
      <c r="T237" s="1">
        <v>6.3789999999999996</v>
      </c>
      <c r="U237" s="1">
        <v>4.9279999999999999</v>
      </c>
      <c r="V237" s="1">
        <v>5.3045</v>
      </c>
      <c r="W237" s="1">
        <v>4.3384999999999998</v>
      </c>
      <c r="Y237" s="1">
        <v>6.2484999999999902</v>
      </c>
      <c r="Z237" s="1">
        <v>7.1440000000000001</v>
      </c>
      <c r="AA237" s="1">
        <v>5.3859999999999904</v>
      </c>
      <c r="AB237" s="1">
        <v>4.0307500000000003</v>
      </c>
    </row>
    <row r="238" spans="1:28" ht="16" x14ac:dyDescent="0.2">
      <c r="A238" s="1">
        <v>210</v>
      </c>
      <c r="B238" s="1" t="s">
        <v>362</v>
      </c>
      <c r="C238" s="1" t="s">
        <v>359</v>
      </c>
      <c r="D238" s="1" t="s">
        <v>6</v>
      </c>
      <c r="F238" s="1">
        <v>6.4020000000000001</v>
      </c>
      <c r="G238" s="1">
        <v>6.6829999999999998</v>
      </c>
      <c r="H238" s="1">
        <v>4.7720000000000002</v>
      </c>
      <c r="J238" s="1">
        <v>4.7720000000000002</v>
      </c>
      <c r="K238" s="1">
        <v>5.3559999999999999</v>
      </c>
      <c r="L238" s="1">
        <v>3.53</v>
      </c>
      <c r="M238" s="1">
        <v>6.5145</v>
      </c>
      <c r="N238" s="1">
        <v>8.6709999999999994</v>
      </c>
      <c r="O238" s="1">
        <v>6.2539999999999996</v>
      </c>
      <c r="Q238" s="1">
        <v>8.6709999999999994</v>
      </c>
      <c r="R238" s="1">
        <v>6.2539999999999996</v>
      </c>
      <c r="S238" s="1">
        <v>4.2164999999999999</v>
      </c>
      <c r="T238" s="1">
        <v>6.3069999999999897</v>
      </c>
      <c r="U238" s="1">
        <v>4.1519999999999904</v>
      </c>
      <c r="V238" s="1">
        <v>6.2014999999999896</v>
      </c>
      <c r="W238" s="1">
        <v>1.6815</v>
      </c>
      <c r="Y238" s="1">
        <v>8.0745000000000005</v>
      </c>
      <c r="Z238" s="1">
        <v>6.6955</v>
      </c>
      <c r="AA238" s="1">
        <v>3.4184999999999999</v>
      </c>
      <c r="AB238" s="1">
        <v>4.9647499999999898</v>
      </c>
    </row>
    <row r="239" spans="1:28" ht="16" x14ac:dyDescent="0.2">
      <c r="A239" s="1">
        <v>17</v>
      </c>
      <c r="B239" s="1" t="s">
        <v>363</v>
      </c>
      <c r="C239" s="1" t="s">
        <v>364</v>
      </c>
      <c r="D239" s="1" t="s">
        <v>16</v>
      </c>
      <c r="F239" s="1">
        <v>7.3935000000000004</v>
      </c>
      <c r="G239" s="1">
        <v>7.2220000000000004</v>
      </c>
      <c r="H239" s="1">
        <v>6.7945000000000002</v>
      </c>
      <c r="J239" s="1">
        <v>6.7945000000000002</v>
      </c>
      <c r="K239" s="1">
        <v>6.1189999999999998</v>
      </c>
      <c r="L239" s="1">
        <v>3.4529999999999998</v>
      </c>
      <c r="M239" s="1">
        <v>2.387</v>
      </c>
      <c r="N239" s="1">
        <v>5.6036666666666601</v>
      </c>
      <c r="O239" s="1">
        <v>6.0190000000000001</v>
      </c>
      <c r="Q239" s="1">
        <v>5.6036666666666601</v>
      </c>
      <c r="R239" s="1">
        <v>6.0190000000000001</v>
      </c>
      <c r="S239" s="1">
        <v>7.0365000000000002</v>
      </c>
      <c r="T239" s="1">
        <v>7.1266666666666598</v>
      </c>
      <c r="U239" s="1">
        <v>1.6915</v>
      </c>
      <c r="V239" s="1">
        <v>3.3712499999999999</v>
      </c>
      <c r="W239" s="1">
        <v>4.1120000000000001</v>
      </c>
      <c r="Y239" s="1">
        <v>4.8264999999999896</v>
      </c>
      <c r="Z239" s="1">
        <v>9.0890000000000004</v>
      </c>
      <c r="AA239" s="1">
        <v>6.4939999999999998</v>
      </c>
      <c r="AB239" s="1">
        <v>4.2934999999999999</v>
      </c>
    </row>
    <row r="240" spans="1:28" ht="16" x14ac:dyDescent="0.2">
      <c r="A240" s="1">
        <v>59</v>
      </c>
      <c r="B240" s="1" t="s">
        <v>365</v>
      </c>
      <c r="C240" s="1" t="s">
        <v>364</v>
      </c>
      <c r="D240" s="1" t="s">
        <v>16</v>
      </c>
      <c r="F240" s="1">
        <v>9.3725000000000005</v>
      </c>
      <c r="G240" s="1">
        <v>8.4949999999999992</v>
      </c>
      <c r="H240" s="1">
        <v>6.7945000000000002</v>
      </c>
      <c r="J240" s="1">
        <v>6.7945000000000002</v>
      </c>
      <c r="K240" s="1">
        <v>1.7829999999999999</v>
      </c>
      <c r="L240" s="1">
        <v>0</v>
      </c>
      <c r="M240" s="1">
        <v>2.387</v>
      </c>
      <c r="N240" s="1">
        <v>5.6036666666666601</v>
      </c>
      <c r="O240" s="1">
        <v>6.8715000000000002</v>
      </c>
      <c r="Q240" s="1">
        <v>5.6036666666666601</v>
      </c>
      <c r="R240" s="1">
        <v>6.8715000000000002</v>
      </c>
      <c r="S240" s="1">
        <v>8.4525000000000006</v>
      </c>
      <c r="T240" s="1">
        <v>7.3936666666666602</v>
      </c>
      <c r="U240" s="1">
        <v>1.6875</v>
      </c>
      <c r="V240" s="1">
        <v>3.9809999999999999</v>
      </c>
      <c r="W240" s="1">
        <v>1.6944999999999999</v>
      </c>
      <c r="Y240" s="1">
        <v>4.2865000000000002</v>
      </c>
      <c r="Z240" s="1">
        <v>6.8475000000000001</v>
      </c>
      <c r="AA240" s="1">
        <v>3.0879999999999899</v>
      </c>
      <c r="AB240" s="1">
        <v>5.1412499999999897</v>
      </c>
    </row>
    <row r="241" spans="1:28" ht="16" x14ac:dyDescent="0.2">
      <c r="A241" s="1">
        <v>189</v>
      </c>
      <c r="B241" s="1" t="s">
        <v>366</v>
      </c>
      <c r="C241" s="1" t="s">
        <v>364</v>
      </c>
      <c r="D241" s="1" t="s">
        <v>16</v>
      </c>
      <c r="F241" s="1">
        <v>8.8230000000000004</v>
      </c>
      <c r="G241" s="1">
        <v>7.6020000000000003</v>
      </c>
      <c r="H241" s="1">
        <v>6.7945000000000002</v>
      </c>
      <c r="J241" s="1">
        <v>6.7945000000000002</v>
      </c>
      <c r="K241" s="1">
        <v>2.2444999999999999</v>
      </c>
      <c r="L241" s="1">
        <v>0</v>
      </c>
      <c r="M241" s="1">
        <v>2.387</v>
      </c>
      <c r="N241" s="1">
        <v>5.6036666666666601</v>
      </c>
      <c r="O241" s="1">
        <v>5.1559999999999997</v>
      </c>
      <c r="Q241" s="1">
        <v>5.6036666666666601</v>
      </c>
      <c r="R241" s="1">
        <v>5.1559999999999997</v>
      </c>
      <c r="S241" s="1">
        <v>5.7285000000000004</v>
      </c>
      <c r="T241" s="1">
        <v>6.65366666666666</v>
      </c>
      <c r="U241" s="1">
        <v>1.1870000000000001</v>
      </c>
      <c r="V241" s="1">
        <v>3.62425</v>
      </c>
      <c r="W241" s="1">
        <v>1.8075000000000001</v>
      </c>
      <c r="Y241" s="1">
        <v>3.6150000000000002</v>
      </c>
      <c r="Z241" s="1">
        <v>4.8134999999999897</v>
      </c>
      <c r="AA241" s="1">
        <v>4.6259999999999897</v>
      </c>
      <c r="AB241" s="1">
        <v>4.5042499999999999</v>
      </c>
    </row>
    <row r="242" spans="1:28" ht="16" x14ac:dyDescent="0.2">
      <c r="A242" s="1">
        <v>247</v>
      </c>
      <c r="B242" s="1" t="s">
        <v>367</v>
      </c>
      <c r="C242" s="1" t="s">
        <v>368</v>
      </c>
      <c r="D242" s="1" t="s">
        <v>103</v>
      </c>
      <c r="F242" s="1">
        <v>9.968</v>
      </c>
      <c r="G242" s="1">
        <v>9.9979999999999993</v>
      </c>
      <c r="H242" s="1">
        <v>2.5990000000000002</v>
      </c>
      <c r="J242" s="1">
        <v>2.5990000000000002</v>
      </c>
      <c r="K242" s="1">
        <v>2.9689999999999999</v>
      </c>
      <c r="L242" s="1">
        <v>0</v>
      </c>
      <c r="M242" s="1">
        <v>3.0920000000000001</v>
      </c>
      <c r="N242" s="1">
        <v>6.6216666666666599</v>
      </c>
      <c r="O242" s="1">
        <v>4.7270000000000003</v>
      </c>
      <c r="Q242" s="1">
        <v>6.6216666666666599</v>
      </c>
      <c r="R242" s="1">
        <v>4.7270000000000003</v>
      </c>
      <c r="S242" s="1">
        <v>8.2914999999999992</v>
      </c>
      <c r="T242" s="1">
        <v>6.2926666666666602</v>
      </c>
      <c r="U242" s="1">
        <v>0.5</v>
      </c>
      <c r="V242" s="1">
        <v>3.2797499999999999</v>
      </c>
      <c r="W242" s="1">
        <v>2.6080000000000001</v>
      </c>
      <c r="Y242" s="1">
        <v>1.0725</v>
      </c>
      <c r="Z242" s="1">
        <v>5.7424999999999997</v>
      </c>
      <c r="AA242" s="1">
        <v>5.3654999999999999</v>
      </c>
      <c r="AB242" s="1">
        <v>5.6144999999999996</v>
      </c>
    </row>
    <row r="243" spans="1:28" ht="16" x14ac:dyDescent="0.2">
      <c r="A243" s="1">
        <v>7</v>
      </c>
      <c r="B243" s="1" t="s">
        <v>369</v>
      </c>
      <c r="C243" s="1" t="s">
        <v>370</v>
      </c>
      <c r="D243" s="1" t="s">
        <v>16</v>
      </c>
      <c r="F243" s="1">
        <v>9.9280000000000008</v>
      </c>
      <c r="G243" s="1">
        <v>9.125</v>
      </c>
      <c r="H243" s="1">
        <v>4.3234999999999904</v>
      </c>
      <c r="J243" s="1">
        <v>4.3234999999999904</v>
      </c>
      <c r="K243" s="1">
        <v>3.9725000000000001</v>
      </c>
      <c r="L243" s="1">
        <v>0</v>
      </c>
      <c r="M243" s="1">
        <v>4.0934999999999997</v>
      </c>
      <c r="N243" s="1">
        <v>5.9483333333333297</v>
      </c>
      <c r="O243" s="1">
        <v>4.4855</v>
      </c>
      <c r="Q243" s="1">
        <v>5.9483333333333297</v>
      </c>
      <c r="R243" s="1">
        <v>4.4855</v>
      </c>
      <c r="S243" s="1">
        <v>7.4249999999999998</v>
      </c>
      <c r="T243" s="1">
        <v>6.9143333333333299</v>
      </c>
      <c r="U243" s="1">
        <v>2.0285000000000002</v>
      </c>
      <c r="V243" s="1">
        <v>2.9359999999999999</v>
      </c>
      <c r="W243" s="1">
        <v>2.0474999999999999</v>
      </c>
      <c r="Y243" s="1">
        <v>2.3159999999999998</v>
      </c>
      <c r="Z243" s="1">
        <v>8.6384999999999899</v>
      </c>
      <c r="AA243" s="1">
        <v>5.1464999999999996</v>
      </c>
      <c r="AB243" s="1">
        <v>5.2910000000000004</v>
      </c>
    </row>
    <row r="244" spans="1:28" ht="16" x14ac:dyDescent="0.2">
      <c r="A244" s="1">
        <v>113</v>
      </c>
      <c r="B244" s="1" t="s">
        <v>371</v>
      </c>
      <c r="C244" s="1" t="s">
        <v>370</v>
      </c>
      <c r="D244" s="1" t="s">
        <v>16</v>
      </c>
      <c r="F244" s="1">
        <v>9.1374999999999993</v>
      </c>
      <c r="G244" s="1">
        <v>8.7870000000000008</v>
      </c>
      <c r="H244" s="1">
        <v>4.3234999999999904</v>
      </c>
      <c r="J244" s="1">
        <v>4.3234999999999904</v>
      </c>
      <c r="K244" s="1">
        <v>6.9535</v>
      </c>
      <c r="L244" s="1">
        <v>2.11099999999999</v>
      </c>
      <c r="M244" s="1">
        <v>4.0934999999999997</v>
      </c>
      <c r="N244" s="1">
        <v>5.9483333333333297</v>
      </c>
      <c r="O244" s="1">
        <v>3.8925000000000001</v>
      </c>
      <c r="Q244" s="1">
        <v>5.9483333333333297</v>
      </c>
      <c r="R244" s="1">
        <v>3.8925000000000001</v>
      </c>
      <c r="S244" s="1">
        <v>6.8935000000000004</v>
      </c>
      <c r="T244" s="1">
        <v>6.8399999999999901</v>
      </c>
      <c r="U244" s="1">
        <v>2.1524999999999999</v>
      </c>
      <c r="V244" s="1">
        <v>3.4047499999999999</v>
      </c>
      <c r="W244" s="1">
        <v>5.8354999999999997</v>
      </c>
      <c r="Y244" s="1">
        <v>3.5005000000000002</v>
      </c>
      <c r="Z244" s="1">
        <v>10</v>
      </c>
      <c r="AA244" s="1">
        <v>5.7435</v>
      </c>
      <c r="AB244" s="1">
        <v>4.0657500000000004</v>
      </c>
    </row>
    <row r="245" spans="1:28" ht="16" x14ac:dyDescent="0.2">
      <c r="A245" s="1">
        <v>120</v>
      </c>
      <c r="B245" s="1" t="s">
        <v>372</v>
      </c>
      <c r="C245" s="1" t="s">
        <v>373</v>
      </c>
      <c r="D245" s="1" t="s">
        <v>26</v>
      </c>
      <c r="F245" s="1">
        <v>9.0845000000000002</v>
      </c>
      <c r="G245" s="1">
        <v>9.8170000000000002</v>
      </c>
      <c r="H245" s="1">
        <v>5.4779999999999998</v>
      </c>
      <c r="J245" s="1">
        <v>5.4779999999999998</v>
      </c>
      <c r="K245" s="1">
        <v>4.0495000000000001</v>
      </c>
      <c r="L245" s="1">
        <v>2.5449999999999999</v>
      </c>
      <c r="M245" s="1">
        <v>1.2755000000000001</v>
      </c>
      <c r="N245" s="1">
        <v>4.5253333333333297</v>
      </c>
      <c r="O245" s="1">
        <v>6.827</v>
      </c>
      <c r="Q245" s="1">
        <v>4.5253333333333297</v>
      </c>
      <c r="R245" s="1">
        <v>6.827</v>
      </c>
      <c r="S245" s="1">
        <v>7.2554999999999996</v>
      </c>
      <c r="T245" s="1">
        <v>4.8509999999999902</v>
      </c>
      <c r="U245" s="1">
        <v>0.5</v>
      </c>
      <c r="V245" s="1">
        <v>3.6665000000000001</v>
      </c>
      <c r="W245" s="1">
        <v>5.4874999999999998</v>
      </c>
      <c r="Y245" s="1">
        <v>6.0414999999999903</v>
      </c>
      <c r="Z245" s="1">
        <v>8.4194999999999993</v>
      </c>
      <c r="AA245" s="1">
        <v>5.3489999999999904</v>
      </c>
      <c r="AB245" s="1">
        <v>5.1607500000000002</v>
      </c>
    </row>
    <row r="246" spans="1:28" ht="16" x14ac:dyDescent="0.2">
      <c r="A246" s="1">
        <v>142</v>
      </c>
      <c r="B246" s="1" t="s">
        <v>374</v>
      </c>
      <c r="C246" s="1" t="s">
        <v>373</v>
      </c>
      <c r="D246" s="1" t="s">
        <v>26</v>
      </c>
      <c r="F246" s="1">
        <v>9.7780000000000005</v>
      </c>
      <c r="G246" s="1">
        <v>10</v>
      </c>
      <c r="H246" s="1">
        <v>5.4779999999999998</v>
      </c>
      <c r="J246" s="1">
        <v>5.4779999999999998</v>
      </c>
      <c r="K246" s="1">
        <v>4.2039999999999997</v>
      </c>
      <c r="L246" s="1">
        <v>0</v>
      </c>
      <c r="M246" s="1">
        <v>1.2755000000000001</v>
      </c>
      <c r="N246" s="1">
        <v>4.5253333333333297</v>
      </c>
      <c r="O246" s="1">
        <v>6.7159999999999904</v>
      </c>
      <c r="Q246" s="1">
        <v>4.5253333333333297</v>
      </c>
      <c r="R246" s="1">
        <v>6.7159999999999904</v>
      </c>
      <c r="S246" s="1">
        <v>7.8220000000000001</v>
      </c>
      <c r="T246" s="1">
        <v>4.8699999999999903</v>
      </c>
      <c r="U246" s="1">
        <v>0</v>
      </c>
      <c r="V246" s="1">
        <v>4.8252499999999996</v>
      </c>
      <c r="W246" s="1">
        <v>3.7614999999999998</v>
      </c>
      <c r="Y246" s="1">
        <v>5.0559999999999903</v>
      </c>
      <c r="Z246" s="1">
        <v>7.0584999999999898</v>
      </c>
      <c r="AA246" s="1">
        <v>4.4359999999999999</v>
      </c>
      <c r="AB246" s="1">
        <v>5.4852499999999997</v>
      </c>
    </row>
    <row r="247" spans="1:28" ht="32" x14ac:dyDescent="0.2">
      <c r="A247" s="1">
        <v>80</v>
      </c>
      <c r="B247" s="1" t="s">
        <v>375</v>
      </c>
      <c r="C247" s="1" t="s">
        <v>376</v>
      </c>
      <c r="D247" s="1" t="s">
        <v>16</v>
      </c>
      <c r="F247" s="1">
        <v>2.5910000000000002</v>
      </c>
      <c r="G247" s="1">
        <v>5.49</v>
      </c>
      <c r="H247" s="1">
        <v>10</v>
      </c>
      <c r="J247" s="1">
        <v>10</v>
      </c>
      <c r="K247" s="1">
        <v>7.3090000000000002</v>
      </c>
      <c r="L247" s="1">
        <v>4.1829999999999998</v>
      </c>
      <c r="M247" s="1">
        <v>7.8859999999999904</v>
      </c>
      <c r="N247" s="1">
        <v>8.0369999999999902</v>
      </c>
      <c r="O247" s="1">
        <v>5.4264999999999999</v>
      </c>
      <c r="Q247" s="1">
        <v>8.0369999999999902</v>
      </c>
      <c r="R247" s="1">
        <v>5.4264999999999999</v>
      </c>
      <c r="S247" s="1">
        <v>9.1720000000000006</v>
      </c>
      <c r="T247" s="1">
        <v>6.3919999999999897</v>
      </c>
      <c r="U247" s="1">
        <v>2.2799999999999998</v>
      </c>
      <c r="V247" s="1">
        <v>6.0354999999999999</v>
      </c>
      <c r="W247" s="1">
        <v>4.508</v>
      </c>
      <c r="Y247" s="1">
        <v>3.1509999999999998</v>
      </c>
      <c r="Z247" s="1">
        <v>4.6704999999999997</v>
      </c>
      <c r="AA247" s="1">
        <v>5.7984999999999998</v>
      </c>
      <c r="AB247" s="1">
        <v>4.2284999999999897</v>
      </c>
    </row>
    <row r="248" spans="1:28" ht="32" x14ac:dyDescent="0.2">
      <c r="A248" s="1">
        <v>21</v>
      </c>
      <c r="B248" s="1" t="s">
        <v>377</v>
      </c>
      <c r="C248" s="1" t="s">
        <v>378</v>
      </c>
      <c r="D248" s="1" t="s">
        <v>26</v>
      </c>
      <c r="F248" s="1">
        <v>7.532</v>
      </c>
      <c r="G248" s="1">
        <v>6.0140000000000002</v>
      </c>
      <c r="H248" s="1">
        <v>5.9545000000000003</v>
      </c>
      <c r="J248" s="1">
        <v>5.9545000000000003</v>
      </c>
      <c r="K248" s="1">
        <v>3.55</v>
      </c>
      <c r="L248" s="1">
        <v>1.621</v>
      </c>
      <c r="M248" s="1">
        <v>5.4379999999999997</v>
      </c>
      <c r="N248" s="1">
        <v>8.9919999999999902</v>
      </c>
      <c r="O248" s="1">
        <v>5.9794999999999998</v>
      </c>
      <c r="Q248" s="1">
        <v>8.9919999999999902</v>
      </c>
      <c r="R248" s="1">
        <v>5.9794999999999998</v>
      </c>
      <c r="S248" s="1">
        <v>7.6789999999999896</v>
      </c>
      <c r="T248" s="1">
        <v>8.1683333333333294</v>
      </c>
      <c r="U248" s="1">
        <v>4.6864999999999997</v>
      </c>
      <c r="V248" s="1">
        <v>8.3774999999999995</v>
      </c>
      <c r="W248" s="1">
        <v>4.0984999999999996</v>
      </c>
      <c r="Y248" s="1">
        <v>5.5954999999999897</v>
      </c>
      <c r="Z248" s="1">
        <v>4.9569999999999999</v>
      </c>
      <c r="AA248" s="1">
        <v>1.413</v>
      </c>
      <c r="AB248" s="1">
        <v>5.28</v>
      </c>
    </row>
    <row r="249" spans="1:28" ht="32" x14ac:dyDescent="0.2">
      <c r="A249" s="1">
        <v>29</v>
      </c>
      <c r="B249" s="1" t="s">
        <v>4</v>
      </c>
      <c r="C249" s="1" t="s">
        <v>378</v>
      </c>
      <c r="D249" s="1" t="s">
        <v>26</v>
      </c>
      <c r="F249" s="1">
        <v>5.9035000000000002</v>
      </c>
      <c r="G249" s="1">
        <v>5.8140000000000001</v>
      </c>
      <c r="H249" s="1">
        <v>5.9545000000000003</v>
      </c>
      <c r="J249" s="1">
        <v>5.9545000000000003</v>
      </c>
      <c r="K249" s="1">
        <v>4.3574999999999999</v>
      </c>
      <c r="L249" s="1">
        <v>2.5409999999999999</v>
      </c>
      <c r="M249" s="1">
        <v>5.4379999999999997</v>
      </c>
      <c r="N249" s="1">
        <v>8.9919999999999902</v>
      </c>
      <c r="O249" s="1">
        <v>6.4210000000000003</v>
      </c>
      <c r="Q249" s="1">
        <v>8.9919999999999902</v>
      </c>
      <c r="R249" s="1">
        <v>6.4210000000000003</v>
      </c>
      <c r="S249" s="1">
        <v>6.9465000000000003</v>
      </c>
      <c r="T249" s="1">
        <v>8.2936666666666596</v>
      </c>
      <c r="U249" s="1">
        <v>5.0265000000000004</v>
      </c>
      <c r="V249" s="1">
        <v>5.7385000000000002</v>
      </c>
      <c r="W249" s="1">
        <v>5.8449999999999998</v>
      </c>
      <c r="Y249" s="1">
        <v>5.94</v>
      </c>
      <c r="Z249" s="1">
        <v>4.4349999999999996</v>
      </c>
      <c r="AA249" s="1">
        <v>1.2675000000000001</v>
      </c>
      <c r="AB249" s="1">
        <v>5.4935</v>
      </c>
    </row>
    <row r="250" spans="1:28" ht="32" x14ac:dyDescent="0.2">
      <c r="A250" s="1">
        <v>39</v>
      </c>
      <c r="B250" s="1" t="s">
        <v>379</v>
      </c>
      <c r="C250" s="1" t="s">
        <v>378</v>
      </c>
      <c r="D250" s="1" t="s">
        <v>26</v>
      </c>
      <c r="F250" s="1">
        <v>2.4900000000000002</v>
      </c>
      <c r="G250" s="1">
        <v>5.3239999999999998</v>
      </c>
      <c r="H250" s="1">
        <v>5.9545000000000003</v>
      </c>
      <c r="J250" s="1">
        <v>5.9545000000000003</v>
      </c>
      <c r="K250" s="1">
        <v>3.4094999999999902</v>
      </c>
      <c r="L250" s="1">
        <v>0</v>
      </c>
      <c r="M250" s="1">
        <v>5.4379999999999997</v>
      </c>
      <c r="N250" s="1">
        <v>8.9919999999999902</v>
      </c>
      <c r="O250" s="1">
        <v>8.17</v>
      </c>
      <c r="Q250" s="1">
        <v>8.9919999999999902</v>
      </c>
      <c r="R250" s="1">
        <v>8.17</v>
      </c>
      <c r="S250" s="1">
        <v>8.4715000000000007</v>
      </c>
      <c r="T250" s="1">
        <v>7.7163333333333304</v>
      </c>
      <c r="U250" s="1">
        <v>4.9059999999999997</v>
      </c>
      <c r="V250" s="1">
        <v>8.2457499999999992</v>
      </c>
      <c r="W250" s="1">
        <v>8.3219999999999992</v>
      </c>
      <c r="Y250" s="1">
        <v>4.7584999999999997</v>
      </c>
      <c r="Z250" s="1">
        <v>4.8695000000000004</v>
      </c>
      <c r="AA250" s="1">
        <v>4.8979999999999997</v>
      </c>
      <c r="AB250" s="1">
        <v>5.5475000000000003</v>
      </c>
    </row>
    <row r="251" spans="1:28" ht="32" x14ac:dyDescent="0.2">
      <c r="A251" s="1">
        <v>41</v>
      </c>
      <c r="B251" s="1" t="s">
        <v>380</v>
      </c>
      <c r="C251" s="1" t="s">
        <v>378</v>
      </c>
      <c r="D251" s="1" t="s">
        <v>26</v>
      </c>
      <c r="F251" s="1">
        <v>5.2159999999999904</v>
      </c>
      <c r="G251" s="1">
        <v>5.242</v>
      </c>
      <c r="H251" s="1">
        <v>5.9545000000000003</v>
      </c>
      <c r="J251" s="1">
        <v>5.9545000000000003</v>
      </c>
      <c r="K251" s="1">
        <v>4.1130000000000004</v>
      </c>
      <c r="L251" s="1">
        <v>3.593</v>
      </c>
      <c r="M251" s="1">
        <v>5.4379999999999997</v>
      </c>
      <c r="N251" s="1">
        <v>8.9919999999999902</v>
      </c>
      <c r="O251" s="1">
        <v>7.43949999999999</v>
      </c>
      <c r="Q251" s="1">
        <v>8.9919999999999902</v>
      </c>
      <c r="R251" s="1">
        <v>7.43949999999999</v>
      </c>
      <c r="S251" s="1">
        <v>7.9399999999999897</v>
      </c>
      <c r="T251" s="1">
        <v>8.2516666666666598</v>
      </c>
      <c r="U251" s="1">
        <v>5.4615</v>
      </c>
      <c r="V251" s="1">
        <v>6.4722499999999998</v>
      </c>
      <c r="W251" s="1">
        <v>4.8899999999999997</v>
      </c>
      <c r="Y251" s="1">
        <v>6.4779999999999998</v>
      </c>
      <c r="Z251" s="1">
        <v>3.8624999999999998</v>
      </c>
      <c r="AA251" s="1">
        <v>4.5380000000000003</v>
      </c>
      <c r="AB251" s="1">
        <v>5.4437499999999996</v>
      </c>
    </row>
    <row r="252" spans="1:28" ht="32" x14ac:dyDescent="0.2">
      <c r="A252" s="1">
        <v>50</v>
      </c>
      <c r="B252" s="1" t="s">
        <v>381</v>
      </c>
      <c r="C252" s="1" t="s">
        <v>378</v>
      </c>
      <c r="D252" s="1" t="s">
        <v>26</v>
      </c>
      <c r="F252" s="1">
        <v>4.1055000000000001</v>
      </c>
      <c r="G252" s="1">
        <v>4.851</v>
      </c>
      <c r="H252" s="1">
        <v>5.9545000000000003</v>
      </c>
      <c r="J252" s="1">
        <v>5.9545000000000003</v>
      </c>
      <c r="K252" s="1">
        <v>5.2530000000000001</v>
      </c>
      <c r="L252" s="1">
        <v>3.2839999999999998</v>
      </c>
      <c r="M252" s="1">
        <v>5.4379999999999997</v>
      </c>
      <c r="N252" s="1">
        <v>8.9919999999999902</v>
      </c>
      <c r="O252" s="1">
        <v>8.4870000000000001</v>
      </c>
      <c r="Q252" s="1">
        <v>8.9919999999999902</v>
      </c>
      <c r="R252" s="1">
        <v>8.4870000000000001</v>
      </c>
      <c r="S252" s="1">
        <v>9.5044999999999895</v>
      </c>
      <c r="T252" s="1">
        <v>8.1890000000000001</v>
      </c>
      <c r="U252" s="1">
        <v>6.5545</v>
      </c>
      <c r="V252" s="1">
        <v>8.0165000000000006</v>
      </c>
      <c r="W252" s="1">
        <v>6.8874999999999904</v>
      </c>
      <c r="Y252" s="1">
        <v>5.8094999999999999</v>
      </c>
      <c r="Z252" s="1">
        <v>2.4550000000000001</v>
      </c>
      <c r="AA252" s="1">
        <v>0.5</v>
      </c>
      <c r="AB252" s="1">
        <v>5.6277499999999998</v>
      </c>
    </row>
    <row r="253" spans="1:28" ht="32" x14ac:dyDescent="0.2">
      <c r="A253" s="1">
        <v>53</v>
      </c>
      <c r="B253" s="1" t="s">
        <v>382</v>
      </c>
      <c r="C253" s="1" t="s">
        <v>378</v>
      </c>
      <c r="D253" s="1" t="s">
        <v>26</v>
      </c>
      <c r="F253" s="1">
        <v>7.0650000000000004</v>
      </c>
      <c r="G253" s="1">
        <v>6.0819999999999999</v>
      </c>
      <c r="H253" s="1">
        <v>5.9545000000000003</v>
      </c>
      <c r="J253" s="1">
        <v>5.9545000000000003</v>
      </c>
      <c r="K253" s="1">
        <v>3.3955000000000002</v>
      </c>
      <c r="L253" s="1">
        <v>1.78</v>
      </c>
      <c r="M253" s="1">
        <v>5.4379999999999997</v>
      </c>
      <c r="N253" s="1">
        <v>8.9919999999999902</v>
      </c>
      <c r="O253" s="1">
        <v>7.9960000000000004</v>
      </c>
      <c r="Q253" s="1">
        <v>8.9919999999999902</v>
      </c>
      <c r="R253" s="1">
        <v>7.9960000000000004</v>
      </c>
      <c r="S253" s="1">
        <v>8.2100000000000009</v>
      </c>
      <c r="T253" s="1">
        <v>8.3183333333333298</v>
      </c>
      <c r="U253" s="1">
        <v>4.7854999999999999</v>
      </c>
      <c r="V253" s="1">
        <v>6.6072499999999899</v>
      </c>
      <c r="W253" s="1">
        <v>4.8899999999999997</v>
      </c>
      <c r="Y253" s="1">
        <v>5.101</v>
      </c>
      <c r="Z253" s="1">
        <v>5.0285000000000002</v>
      </c>
      <c r="AA253" s="1">
        <v>4.8055000000000003</v>
      </c>
      <c r="AB253" s="1">
        <v>5.7647499999999896</v>
      </c>
    </row>
    <row r="254" spans="1:28" ht="32" x14ac:dyDescent="0.2">
      <c r="A254" s="1">
        <v>83</v>
      </c>
      <c r="B254" s="1" t="s">
        <v>383</v>
      </c>
      <c r="C254" s="1" t="s">
        <v>378</v>
      </c>
      <c r="D254" s="1" t="s">
        <v>26</v>
      </c>
      <c r="F254" s="1">
        <v>5.8449999999999998</v>
      </c>
      <c r="G254" s="1">
        <v>5.1139999999999999</v>
      </c>
      <c r="H254" s="1">
        <v>5.9545000000000003</v>
      </c>
      <c r="J254" s="1">
        <v>5.9545000000000003</v>
      </c>
      <c r="K254" s="1">
        <v>4.109</v>
      </c>
      <c r="L254" s="1">
        <v>3.33699999999999</v>
      </c>
      <c r="M254" s="1">
        <v>5.4379999999999997</v>
      </c>
      <c r="N254" s="1">
        <v>8.9919999999999902</v>
      </c>
      <c r="O254" s="1">
        <v>7.9219999999999997</v>
      </c>
      <c r="Q254" s="1">
        <v>8.9919999999999902</v>
      </c>
      <c r="R254" s="1">
        <v>7.9219999999999997</v>
      </c>
      <c r="S254" s="1">
        <v>8.4849999999999994</v>
      </c>
      <c r="T254" s="1">
        <v>8.5523333333333298</v>
      </c>
      <c r="U254" s="1">
        <v>6.0925000000000002</v>
      </c>
      <c r="V254" s="1">
        <v>7.7629999999999999</v>
      </c>
      <c r="W254" s="1">
        <v>5.1849999999999996</v>
      </c>
      <c r="Y254" s="1">
        <v>5.1755000000000004</v>
      </c>
      <c r="Z254" s="1">
        <v>7.2004999999999999</v>
      </c>
      <c r="AA254" s="1">
        <v>5.1310000000000002</v>
      </c>
      <c r="AB254" s="1">
        <v>5.9675000000000002</v>
      </c>
    </row>
    <row r="255" spans="1:28" ht="32" x14ac:dyDescent="0.2">
      <c r="A255" s="1">
        <v>96</v>
      </c>
      <c r="B255" s="1" t="s">
        <v>384</v>
      </c>
      <c r="C255" s="1" t="s">
        <v>378</v>
      </c>
      <c r="D255" s="1" t="s">
        <v>26</v>
      </c>
      <c r="F255" s="1">
        <v>6.9284999999999997</v>
      </c>
      <c r="G255" s="1">
        <v>5.6230000000000002</v>
      </c>
      <c r="H255" s="1">
        <v>5.9545000000000003</v>
      </c>
      <c r="J255" s="1">
        <v>5.9545000000000003</v>
      </c>
      <c r="K255" s="1">
        <v>3.5049999999999999</v>
      </c>
      <c r="L255" s="1">
        <v>1.1819999999999999</v>
      </c>
      <c r="M255" s="1">
        <v>5.4379999999999997</v>
      </c>
      <c r="N255" s="1">
        <v>8.9919999999999902</v>
      </c>
      <c r="O255" s="1">
        <v>6.9429999999999996</v>
      </c>
      <c r="Q255" s="1">
        <v>8.9919999999999902</v>
      </c>
      <c r="R255" s="1">
        <v>6.9429999999999996</v>
      </c>
      <c r="S255" s="1">
        <v>7.4960000000000004</v>
      </c>
      <c r="T255" s="1">
        <v>8.8133333333333308</v>
      </c>
      <c r="U255" s="1">
        <v>5.3064999999999998</v>
      </c>
      <c r="V255" s="1">
        <v>7.1009999999999902</v>
      </c>
      <c r="W255" s="1">
        <v>6.1994999999999996</v>
      </c>
      <c r="Y255" s="1">
        <v>4.2529999999999903</v>
      </c>
      <c r="Z255" s="1">
        <v>4.6710000000000003</v>
      </c>
      <c r="AA255" s="1">
        <v>3.7409999999999899</v>
      </c>
      <c r="AB255" s="1">
        <v>5.3522499999999997</v>
      </c>
    </row>
    <row r="256" spans="1:28" ht="32" x14ac:dyDescent="0.2">
      <c r="A256" s="1">
        <v>131</v>
      </c>
      <c r="B256" s="1" t="s">
        <v>385</v>
      </c>
      <c r="C256" s="1" t="s">
        <v>378</v>
      </c>
      <c r="D256" s="1" t="s">
        <v>26</v>
      </c>
      <c r="F256" s="1">
        <v>6.8109999999999999</v>
      </c>
      <c r="G256" s="1">
        <v>5.3629999999999898</v>
      </c>
      <c r="H256" s="1">
        <v>5.9545000000000003</v>
      </c>
      <c r="J256" s="1">
        <v>5.9545000000000003</v>
      </c>
      <c r="K256" s="1">
        <v>3.3605</v>
      </c>
      <c r="L256" s="1">
        <v>4.423</v>
      </c>
      <c r="M256" s="1">
        <v>5.4379999999999997</v>
      </c>
      <c r="N256" s="1">
        <v>8.9919999999999902</v>
      </c>
      <c r="O256" s="1">
        <v>7.2140000000000004</v>
      </c>
      <c r="Q256" s="1">
        <v>8.9919999999999902</v>
      </c>
      <c r="R256" s="1">
        <v>7.2140000000000004</v>
      </c>
      <c r="S256" s="1">
        <v>7.7309999999999999</v>
      </c>
      <c r="T256" s="1">
        <v>8.6336666666666595</v>
      </c>
      <c r="U256" s="1">
        <v>4.9824999999999999</v>
      </c>
      <c r="V256" s="1">
        <v>5.9219999999999997</v>
      </c>
      <c r="W256" s="1">
        <v>6.5949999999999998</v>
      </c>
      <c r="Y256" s="1">
        <v>7.3294999999999897</v>
      </c>
      <c r="Z256" s="1">
        <v>3.7434999999999898</v>
      </c>
      <c r="AA256" s="1">
        <v>1.2955000000000001</v>
      </c>
      <c r="AB256" s="1">
        <v>5.1057499999999996</v>
      </c>
    </row>
    <row r="257" spans="1:28" ht="32" x14ac:dyDescent="0.2">
      <c r="A257" s="1">
        <v>136</v>
      </c>
      <c r="B257" s="1" t="s">
        <v>386</v>
      </c>
      <c r="C257" s="1" t="s">
        <v>378</v>
      </c>
      <c r="D257" s="1" t="s">
        <v>26</v>
      </c>
      <c r="F257" s="1">
        <v>7.4850000000000003</v>
      </c>
      <c r="G257" s="1">
        <v>6.02</v>
      </c>
      <c r="H257" s="1">
        <v>5.9545000000000003</v>
      </c>
      <c r="J257" s="1">
        <v>5.9545000000000003</v>
      </c>
      <c r="K257" s="1">
        <v>3.5589999999999899</v>
      </c>
      <c r="L257" s="1">
        <v>2.355</v>
      </c>
      <c r="M257" s="1">
        <v>5.4379999999999997</v>
      </c>
      <c r="N257" s="1">
        <v>8.9919999999999902</v>
      </c>
      <c r="O257" s="1">
        <v>7.4509999999999996</v>
      </c>
      <c r="Q257" s="1">
        <v>8.9919999999999902</v>
      </c>
      <c r="R257" s="1">
        <v>7.4509999999999996</v>
      </c>
      <c r="S257" s="1">
        <v>7.7285000000000004</v>
      </c>
      <c r="T257" s="1">
        <v>9.0276666666666596</v>
      </c>
      <c r="U257" s="1">
        <v>4.8719999999999999</v>
      </c>
      <c r="V257" s="1">
        <v>7.2752499999999998</v>
      </c>
      <c r="W257" s="1">
        <v>6.6494999999999997</v>
      </c>
      <c r="Y257" s="1">
        <v>8.9939999999999998</v>
      </c>
      <c r="Z257" s="1">
        <v>5.3929999999999998</v>
      </c>
      <c r="AA257" s="1">
        <v>5.4584999999999999</v>
      </c>
      <c r="AB257" s="1">
        <v>4.5409999999999897</v>
      </c>
    </row>
    <row r="258" spans="1:28" ht="32" x14ac:dyDescent="0.2">
      <c r="A258" s="1">
        <v>138</v>
      </c>
      <c r="B258" s="1" t="s">
        <v>387</v>
      </c>
      <c r="C258" s="1" t="s">
        <v>378</v>
      </c>
      <c r="D258" s="1" t="s">
        <v>26</v>
      </c>
      <c r="F258" s="1">
        <v>1</v>
      </c>
      <c r="G258" s="1">
        <v>3.94</v>
      </c>
      <c r="H258" s="1">
        <v>5.9545000000000003</v>
      </c>
      <c r="J258" s="1">
        <v>5.9545000000000003</v>
      </c>
      <c r="K258" s="1">
        <v>10</v>
      </c>
      <c r="L258" s="1">
        <v>9.859</v>
      </c>
      <c r="M258" s="1">
        <v>5.4379999999999997</v>
      </c>
      <c r="N258" s="1">
        <v>8.9919999999999902</v>
      </c>
      <c r="O258" s="1">
        <v>6.5730000000000004</v>
      </c>
      <c r="Q258" s="1">
        <v>8.9919999999999902</v>
      </c>
      <c r="R258" s="1">
        <v>6.5730000000000004</v>
      </c>
      <c r="S258" s="1">
        <v>7.2435</v>
      </c>
      <c r="T258" s="1">
        <v>8.01799999999999</v>
      </c>
      <c r="U258" s="1">
        <v>9.0269999999999992</v>
      </c>
      <c r="V258" s="1">
        <v>5.5477499999999997</v>
      </c>
      <c r="W258" s="1">
        <v>9.4024999999999999</v>
      </c>
      <c r="Y258" s="1">
        <v>5.8455000000000004</v>
      </c>
      <c r="Z258" s="1">
        <v>9.4555000000000007</v>
      </c>
      <c r="AA258" s="1">
        <v>5.3744999999999896</v>
      </c>
      <c r="AB258" s="1">
        <v>5.3955000000000002</v>
      </c>
    </row>
    <row r="259" spans="1:28" ht="32" x14ac:dyDescent="0.2">
      <c r="A259" s="1">
        <v>149</v>
      </c>
      <c r="B259" s="1" t="s">
        <v>388</v>
      </c>
      <c r="C259" s="1" t="s">
        <v>378</v>
      </c>
      <c r="D259" s="1" t="s">
        <v>26</v>
      </c>
      <c r="F259" s="1">
        <v>6.4554999999999998</v>
      </c>
      <c r="G259" s="1">
        <v>5.0490000000000004</v>
      </c>
      <c r="H259" s="1">
        <v>5.9545000000000003</v>
      </c>
      <c r="J259" s="1">
        <v>5.9545000000000003</v>
      </c>
      <c r="K259" s="1">
        <v>5.7694999999999999</v>
      </c>
      <c r="L259" s="1">
        <v>4.9080000000000004</v>
      </c>
      <c r="M259" s="1">
        <v>5.4379999999999997</v>
      </c>
      <c r="N259" s="1">
        <v>8.9919999999999902</v>
      </c>
      <c r="O259" s="1">
        <v>6.6769999999999996</v>
      </c>
      <c r="Q259" s="1">
        <v>8.9919999999999902</v>
      </c>
      <c r="R259" s="1">
        <v>6.6769999999999996</v>
      </c>
      <c r="S259" s="1">
        <v>6.7725</v>
      </c>
      <c r="T259" s="1">
        <v>8.5189999999999895</v>
      </c>
      <c r="U259" s="1">
        <v>5.6520000000000001</v>
      </c>
      <c r="V259" s="1">
        <v>4.3630000000000004</v>
      </c>
      <c r="W259" s="1">
        <v>6.3975</v>
      </c>
      <c r="Y259" s="1">
        <v>5.8140000000000001</v>
      </c>
      <c r="Z259" s="1">
        <v>4.9749999999999996</v>
      </c>
      <c r="AA259" s="1">
        <v>3.6760000000000002</v>
      </c>
      <c r="AB259" s="1">
        <v>4.7279999999999998</v>
      </c>
    </row>
    <row r="260" spans="1:28" ht="32" x14ac:dyDescent="0.2">
      <c r="A260" s="1">
        <v>181</v>
      </c>
      <c r="B260" s="1" t="s">
        <v>389</v>
      </c>
      <c r="C260" s="1" t="s">
        <v>378</v>
      </c>
      <c r="D260" s="1" t="s">
        <v>26</v>
      </c>
      <c r="F260" s="1">
        <v>3.65</v>
      </c>
      <c r="G260" s="1">
        <v>4.9409999999999998</v>
      </c>
      <c r="H260" s="1">
        <v>5.9545000000000003</v>
      </c>
      <c r="J260" s="1">
        <v>5.9545000000000003</v>
      </c>
      <c r="K260" s="1">
        <v>4.5510000000000002</v>
      </c>
      <c r="L260" s="1">
        <v>3.843</v>
      </c>
      <c r="M260" s="1">
        <v>5.4379999999999997</v>
      </c>
      <c r="N260" s="1">
        <v>8.9919999999999902</v>
      </c>
      <c r="O260" s="1">
        <v>8.2579999999999991</v>
      </c>
      <c r="Q260" s="1">
        <v>8.9919999999999902</v>
      </c>
      <c r="R260" s="1">
        <v>8.2579999999999991</v>
      </c>
      <c r="S260" s="1">
        <v>8.5685000000000002</v>
      </c>
      <c r="T260" s="1">
        <v>7.97</v>
      </c>
      <c r="U260" s="1">
        <v>6.6379999999999999</v>
      </c>
      <c r="V260" s="1">
        <v>7.55375</v>
      </c>
      <c r="W260" s="1">
        <v>7.9260000000000002</v>
      </c>
      <c r="Y260" s="1">
        <v>6.1544999999999996</v>
      </c>
      <c r="Z260" s="1">
        <v>5.4950000000000001</v>
      </c>
      <c r="AA260" s="1">
        <v>2.629</v>
      </c>
      <c r="AB260" s="1">
        <v>5.9582499999999996</v>
      </c>
    </row>
    <row r="261" spans="1:28" ht="16" x14ac:dyDescent="0.2">
      <c r="A261" s="1">
        <v>161</v>
      </c>
      <c r="B261" s="1" t="s">
        <v>390</v>
      </c>
      <c r="C261" s="1" t="s">
        <v>391</v>
      </c>
      <c r="D261" s="1" t="s">
        <v>11</v>
      </c>
      <c r="F261" s="1">
        <v>8.1829999999999998</v>
      </c>
      <c r="G261" s="1">
        <v>6.1970000000000001</v>
      </c>
      <c r="H261" s="1">
        <v>4.8285</v>
      </c>
      <c r="J261" s="1">
        <v>4.8285</v>
      </c>
      <c r="K261" s="1">
        <v>2.863</v>
      </c>
      <c r="L261" s="1">
        <v>2.2050000000000001</v>
      </c>
      <c r="M261" s="1">
        <v>4.4160000000000004</v>
      </c>
      <c r="N261" s="1">
        <v>7.9439999999999902</v>
      </c>
      <c r="O261" s="1">
        <v>9.7100000000000009</v>
      </c>
      <c r="Q261" s="1">
        <v>7.9439999999999902</v>
      </c>
      <c r="R261" s="1">
        <v>9.7100000000000009</v>
      </c>
      <c r="S261" s="1">
        <v>5.9734999999999996</v>
      </c>
      <c r="T261" s="1">
        <v>6.6549999999999896</v>
      </c>
      <c r="U261" s="1">
        <v>1.69</v>
      </c>
      <c r="V261" s="1">
        <v>4.5449999999999999</v>
      </c>
      <c r="W261" s="1">
        <v>1.1830000000000001</v>
      </c>
      <c r="Y261" s="1">
        <v>2.1785000000000001</v>
      </c>
      <c r="Z261" s="1">
        <v>4.9465000000000003</v>
      </c>
      <c r="AA261" s="1">
        <v>5.1784999999999997</v>
      </c>
      <c r="AB261" s="1">
        <v>5.2880000000000003</v>
      </c>
    </row>
    <row r="262" spans="1:28" ht="16" x14ac:dyDescent="0.2">
      <c r="A262" s="1">
        <v>209</v>
      </c>
      <c r="B262" s="1" t="s">
        <v>392</v>
      </c>
      <c r="C262" s="1" t="s">
        <v>393</v>
      </c>
      <c r="D262" s="1" t="s">
        <v>6</v>
      </c>
      <c r="F262" s="1">
        <v>6.141</v>
      </c>
      <c r="G262" s="1">
        <v>6.1719999999999997</v>
      </c>
      <c r="H262" s="1">
        <v>4.2039999999999997</v>
      </c>
      <c r="J262" s="1">
        <v>4.2039999999999997</v>
      </c>
      <c r="K262" s="1">
        <v>6.3</v>
      </c>
      <c r="L262" s="1">
        <v>7.09</v>
      </c>
      <c r="M262" s="1">
        <v>6.5145</v>
      </c>
      <c r="N262" s="1">
        <v>8.6709999999999994</v>
      </c>
      <c r="O262" s="1">
        <v>8.6225000000000005</v>
      </c>
      <c r="Q262" s="1">
        <v>8.6709999999999994</v>
      </c>
      <c r="R262" s="1">
        <v>8.6225000000000005</v>
      </c>
      <c r="S262" s="1">
        <v>5.657</v>
      </c>
      <c r="T262" s="1">
        <v>6.2463333333333297</v>
      </c>
      <c r="U262" s="1">
        <v>4.2805</v>
      </c>
      <c r="V262" s="1">
        <v>6.2157499999999999</v>
      </c>
      <c r="W262" s="1">
        <v>2.7369999999999899</v>
      </c>
      <c r="Y262" s="1">
        <v>6.8105000000000002</v>
      </c>
      <c r="Z262" s="1">
        <v>5.9320000000000004</v>
      </c>
      <c r="AA262" s="1">
        <v>6.641</v>
      </c>
      <c r="AB262" s="1">
        <v>4.5739999999999901</v>
      </c>
    </row>
    <row r="263" spans="1:28" ht="16" x14ac:dyDescent="0.2">
      <c r="A263" s="1">
        <v>238</v>
      </c>
      <c r="B263" s="1" t="s">
        <v>394</v>
      </c>
      <c r="C263" s="1" t="s">
        <v>395</v>
      </c>
      <c r="D263" s="1" t="s">
        <v>16</v>
      </c>
      <c r="F263" s="1">
        <v>5</v>
      </c>
      <c r="G263" s="1">
        <v>0</v>
      </c>
      <c r="H263" s="1">
        <v>6.0145</v>
      </c>
      <c r="J263" s="1">
        <v>6.0145</v>
      </c>
      <c r="K263" s="1">
        <v>1.7829999999999999</v>
      </c>
      <c r="L263" s="1">
        <v>0</v>
      </c>
      <c r="M263" s="1">
        <v>5.5374999999999996</v>
      </c>
      <c r="N263" s="1">
        <v>5.17533333333333</v>
      </c>
      <c r="O263" s="1">
        <v>6.1704999999999997</v>
      </c>
      <c r="Q263" s="1">
        <v>5.17533333333333</v>
      </c>
      <c r="R263" s="1">
        <v>6.1704999999999997</v>
      </c>
      <c r="S263" s="1">
        <v>8.9045000000000005</v>
      </c>
      <c r="T263" s="1">
        <v>3.6933333333333298</v>
      </c>
      <c r="U263" s="1">
        <v>0</v>
      </c>
      <c r="V263" s="1">
        <v>6.5554999999999897</v>
      </c>
      <c r="W263" s="1">
        <v>2.7374999999999998</v>
      </c>
      <c r="Y263" s="1">
        <v>1.2424999999999999</v>
      </c>
      <c r="Z263" s="1">
        <v>3.1760000000000002</v>
      </c>
      <c r="AA263" s="1">
        <v>4.2424999999999997</v>
      </c>
      <c r="AB263" s="1">
        <v>0</v>
      </c>
    </row>
    <row r="264" spans="1:28" ht="16" x14ac:dyDescent="0.2">
      <c r="A264" s="1">
        <v>52</v>
      </c>
      <c r="B264" s="1" t="s">
        <v>396</v>
      </c>
      <c r="C264" s="1" t="s">
        <v>397</v>
      </c>
      <c r="D264" s="1" t="s">
        <v>11</v>
      </c>
      <c r="F264" s="1">
        <v>4.9024999999999999</v>
      </c>
      <c r="G264" s="1">
        <v>9.82</v>
      </c>
      <c r="H264" s="1">
        <v>4.18</v>
      </c>
      <c r="J264" s="1">
        <v>4.18</v>
      </c>
      <c r="K264" s="1">
        <v>3.0535000000000001</v>
      </c>
      <c r="L264" s="1">
        <v>0</v>
      </c>
      <c r="M264" s="1">
        <v>1.978</v>
      </c>
      <c r="N264" s="1">
        <v>0.999999999999999</v>
      </c>
      <c r="O264" s="1">
        <v>4.5504999999999898</v>
      </c>
      <c r="Q264" s="1">
        <v>0.999999999999999</v>
      </c>
      <c r="R264" s="1">
        <v>4.5504999999999898</v>
      </c>
      <c r="S264" s="1">
        <v>5.2210000000000001</v>
      </c>
      <c r="T264" s="1">
        <v>4.1783333333333301</v>
      </c>
      <c r="U264" s="1">
        <v>0</v>
      </c>
      <c r="V264" s="1">
        <v>2.2725</v>
      </c>
      <c r="W264" s="1">
        <v>1.3234999999999999</v>
      </c>
      <c r="Y264" s="1">
        <v>1.6415</v>
      </c>
      <c r="Z264" s="1">
        <v>4.38</v>
      </c>
      <c r="AA264" s="1">
        <v>4.0984999999999996</v>
      </c>
      <c r="AB264" s="1">
        <v>4.5442499999999999</v>
      </c>
    </row>
    <row r="265" spans="1:28" ht="32" x14ac:dyDescent="0.2">
      <c r="A265" s="1">
        <v>106</v>
      </c>
      <c r="B265" s="1" t="s">
        <v>398</v>
      </c>
      <c r="C265" s="1" t="s">
        <v>399</v>
      </c>
      <c r="D265" s="1" t="s">
        <v>16</v>
      </c>
      <c r="F265" s="1">
        <v>8.6180000000000003</v>
      </c>
      <c r="G265" s="1">
        <v>8.8439999999999994</v>
      </c>
      <c r="H265" s="1">
        <v>5.0449999999999999</v>
      </c>
      <c r="J265" s="1">
        <v>5.0449999999999999</v>
      </c>
      <c r="K265" s="1">
        <v>4.93</v>
      </c>
      <c r="L265" s="1">
        <v>1.7390000000000001</v>
      </c>
      <c r="M265" s="1">
        <v>4.8345000000000002</v>
      </c>
      <c r="N265" s="1">
        <v>4.1016666666666604</v>
      </c>
      <c r="O265" s="1">
        <v>5.9434999999999896</v>
      </c>
      <c r="Q265" s="1">
        <v>4.1016666666666604</v>
      </c>
      <c r="R265" s="1">
        <v>5.9434999999999896</v>
      </c>
      <c r="S265" s="1">
        <v>6.7675000000000001</v>
      </c>
      <c r="T265" s="1">
        <v>5.5403333333333302</v>
      </c>
      <c r="U265" s="1">
        <v>4.1164999999999896</v>
      </c>
      <c r="V265" s="1">
        <v>1.4197499999999901</v>
      </c>
      <c r="W265" s="1">
        <v>2.08</v>
      </c>
      <c r="Y265" s="1">
        <v>4.5650000000000004</v>
      </c>
      <c r="Z265" s="1">
        <v>5.8739999999999997</v>
      </c>
      <c r="AA265" s="1">
        <v>1.2575000000000001</v>
      </c>
      <c r="AB265" s="1">
        <v>5.1834999999999898</v>
      </c>
    </row>
    <row r="266" spans="1:28" ht="16" x14ac:dyDescent="0.2">
      <c r="A266" s="1">
        <v>201</v>
      </c>
      <c r="B266" s="1" t="s">
        <v>400</v>
      </c>
      <c r="C266" s="1" t="s">
        <v>401</v>
      </c>
      <c r="D266" s="1" t="s">
        <v>6</v>
      </c>
      <c r="F266" s="1">
        <v>6.4394999999999998</v>
      </c>
      <c r="G266" s="1">
        <v>5.9489999999999998</v>
      </c>
      <c r="H266" s="1">
        <v>4.2039999999999997</v>
      </c>
      <c r="J266" s="1">
        <v>4.2039999999999997</v>
      </c>
      <c r="K266" s="1">
        <v>4.2705000000000002</v>
      </c>
      <c r="L266" s="1">
        <v>2.097</v>
      </c>
      <c r="M266" s="1">
        <v>6.5145</v>
      </c>
      <c r="N266" s="1">
        <v>8.6709999999999994</v>
      </c>
      <c r="O266" s="1">
        <v>7.1509999999999998</v>
      </c>
      <c r="Q266" s="1">
        <v>8.6709999999999994</v>
      </c>
      <c r="R266" s="1">
        <v>7.1509999999999998</v>
      </c>
      <c r="S266" s="1">
        <v>3.3765000000000001</v>
      </c>
      <c r="T266" s="1">
        <v>6.4883333333333297</v>
      </c>
      <c r="U266" s="1">
        <v>3.6244999999999998</v>
      </c>
      <c r="V266" s="1">
        <v>6.6217499999999996</v>
      </c>
      <c r="W266" s="1">
        <v>1.38</v>
      </c>
      <c r="Y266" s="1">
        <v>7.6454999999999904</v>
      </c>
      <c r="Z266" s="1">
        <v>6.3384999999999998</v>
      </c>
      <c r="AA266" s="1">
        <v>1.0349999999999999</v>
      </c>
      <c r="AB266" s="1">
        <v>5.6484999999999896</v>
      </c>
    </row>
    <row r="267" spans="1:28" ht="16" x14ac:dyDescent="0.2">
      <c r="A267" s="1">
        <v>222</v>
      </c>
      <c r="B267" s="1" t="s">
        <v>402</v>
      </c>
      <c r="C267" s="1" t="s">
        <v>403</v>
      </c>
      <c r="D267" s="1" t="s">
        <v>6</v>
      </c>
      <c r="F267" s="1">
        <v>2.2909999999999999</v>
      </c>
      <c r="G267" s="1">
        <v>3.79</v>
      </c>
      <c r="H267" s="1">
        <v>4.7720000000000002</v>
      </c>
      <c r="J267" s="1">
        <v>4.7720000000000002</v>
      </c>
      <c r="K267" s="1">
        <v>8.3670000000000009</v>
      </c>
      <c r="L267" s="1">
        <v>7.5510000000000002</v>
      </c>
      <c r="M267" s="1">
        <v>6.5145</v>
      </c>
      <c r="N267" s="1">
        <v>8.6709999999999994</v>
      </c>
      <c r="O267" s="1">
        <v>8.0894999999999992</v>
      </c>
      <c r="Q267" s="1">
        <v>8.6709999999999994</v>
      </c>
      <c r="R267" s="1">
        <v>8.0894999999999992</v>
      </c>
      <c r="S267" s="1">
        <v>5.6364999999999998</v>
      </c>
      <c r="T267" s="1">
        <v>6.3096666666666597</v>
      </c>
      <c r="U267" s="1">
        <v>5.7145000000000001</v>
      </c>
      <c r="V267" s="1">
        <v>7.5602499999999999</v>
      </c>
      <c r="W267" s="1">
        <v>2.8845000000000001</v>
      </c>
      <c r="Y267" s="1">
        <v>4.9404999999999903</v>
      </c>
      <c r="Z267" s="1">
        <v>8.1155000000000008</v>
      </c>
      <c r="AA267" s="1">
        <v>7.2094999999999896</v>
      </c>
      <c r="AB267" s="1">
        <v>4.5237499999999997</v>
      </c>
    </row>
    <row r="268" spans="1:28" ht="16" x14ac:dyDescent="0.2">
      <c r="A268" s="1">
        <v>144</v>
      </c>
      <c r="B268" s="1" t="s">
        <v>404</v>
      </c>
      <c r="C268" s="1" t="s">
        <v>405</v>
      </c>
      <c r="D268" s="1" t="s">
        <v>6</v>
      </c>
      <c r="F268" s="1">
        <v>5.8294999999999897</v>
      </c>
      <c r="G268" s="1">
        <v>6.173</v>
      </c>
      <c r="H268" s="1">
        <v>4.2039999999999997</v>
      </c>
      <c r="J268" s="1">
        <v>4.2039999999999997</v>
      </c>
      <c r="K268" s="1">
        <v>4.0170000000000003</v>
      </c>
      <c r="L268" s="1">
        <v>2.9129999999999998</v>
      </c>
      <c r="M268" s="1">
        <v>6.5145</v>
      </c>
      <c r="N268" s="1">
        <v>8.6709999999999994</v>
      </c>
      <c r="O268" s="1">
        <v>7.9005000000000001</v>
      </c>
      <c r="Q268" s="1">
        <v>8.6709999999999994</v>
      </c>
      <c r="R268" s="1">
        <v>7.9005000000000001</v>
      </c>
      <c r="S268" s="1">
        <v>7.3620000000000001</v>
      </c>
      <c r="T268" s="1">
        <v>7.0069999999999899</v>
      </c>
      <c r="U268" s="1">
        <v>5.3859999999999904</v>
      </c>
      <c r="V268" s="1">
        <v>9.5239999999999991</v>
      </c>
      <c r="W268" s="1">
        <v>1.2295</v>
      </c>
      <c r="Y268" s="1">
        <v>4.9924999999999997</v>
      </c>
      <c r="Z268" s="1">
        <v>4.4219999999999997</v>
      </c>
      <c r="AA268" s="1">
        <v>4.3759999999999897</v>
      </c>
      <c r="AB268" s="1">
        <v>5.4737499999999999</v>
      </c>
    </row>
    <row r="269" spans="1:28" ht="16" x14ac:dyDescent="0.2">
      <c r="A269" s="1">
        <v>158</v>
      </c>
      <c r="B269" s="1" t="s">
        <v>406</v>
      </c>
      <c r="C269" s="1" t="s">
        <v>405</v>
      </c>
      <c r="D269" s="1" t="s">
        <v>6</v>
      </c>
      <c r="F269" s="1">
        <v>6.1224999999999996</v>
      </c>
      <c r="G269" s="1">
        <v>5.5259999999999998</v>
      </c>
      <c r="H269" s="1">
        <v>4.2039999999999997</v>
      </c>
      <c r="J269" s="1">
        <v>4.2039999999999997</v>
      </c>
      <c r="K269" s="1">
        <v>4.8304999999999998</v>
      </c>
      <c r="L269" s="1">
        <v>2.0049999999999999</v>
      </c>
      <c r="M269" s="1">
        <v>6.5145</v>
      </c>
      <c r="N269" s="1">
        <v>8.6709999999999994</v>
      </c>
      <c r="O269" s="1">
        <v>4.8440000000000003</v>
      </c>
      <c r="Q269" s="1">
        <v>8.6709999999999994</v>
      </c>
      <c r="R269" s="1">
        <v>4.8440000000000003</v>
      </c>
      <c r="S269" s="1">
        <v>4.2670000000000003</v>
      </c>
      <c r="T269" s="1">
        <v>6.08233333333333</v>
      </c>
      <c r="U269" s="1">
        <v>4.1769999999999996</v>
      </c>
      <c r="V269" s="1">
        <v>7.9889999999999999</v>
      </c>
      <c r="W269" s="1">
        <v>1.5874999999999999</v>
      </c>
      <c r="Y269" s="1">
        <v>4.3460000000000001</v>
      </c>
      <c r="Z269" s="1">
        <v>6.8375000000000004</v>
      </c>
      <c r="AA269" s="1">
        <v>5.0640000000000001</v>
      </c>
      <c r="AB269" s="1">
        <v>4.915</v>
      </c>
    </row>
    <row r="270" spans="1:28" ht="16" x14ac:dyDescent="0.2">
      <c r="A270" s="1">
        <v>6</v>
      </c>
      <c r="B270" s="1" t="s">
        <v>407</v>
      </c>
      <c r="C270" s="1" t="s">
        <v>407</v>
      </c>
      <c r="D270" s="1" t="s">
        <v>26</v>
      </c>
      <c r="F270" s="1">
        <v>3.9689999999999999</v>
      </c>
      <c r="G270" s="1">
        <v>0</v>
      </c>
      <c r="H270" s="1">
        <v>4.4749999999999996</v>
      </c>
      <c r="J270" s="1">
        <v>4.4749999999999996</v>
      </c>
      <c r="K270" s="1">
        <v>1</v>
      </c>
      <c r="L270" s="1">
        <v>0</v>
      </c>
      <c r="M270" s="1">
        <v>0</v>
      </c>
      <c r="N270" s="1">
        <v>0</v>
      </c>
      <c r="O270" s="1">
        <v>8.7035</v>
      </c>
      <c r="Q270" s="1">
        <v>0</v>
      </c>
      <c r="R270" s="1">
        <v>8.7035</v>
      </c>
      <c r="S270" s="1">
        <v>9.5534999999999997</v>
      </c>
      <c r="T270" s="1">
        <v>0</v>
      </c>
      <c r="U270" s="1">
        <v>0</v>
      </c>
      <c r="V270" s="1">
        <v>7.2560000000000002</v>
      </c>
      <c r="W270" s="1">
        <v>0.5</v>
      </c>
      <c r="Y270" s="1">
        <v>7.1859999999999999</v>
      </c>
      <c r="Z270" s="1">
        <v>2.1320000000000001</v>
      </c>
      <c r="AA270" s="1">
        <v>3.5884999999999998</v>
      </c>
      <c r="AB270" s="1">
        <v>0</v>
      </c>
    </row>
  </sheetData>
  <mergeCells count="4">
    <mergeCell ref="F3:H3"/>
    <mergeCell ref="J3:O3"/>
    <mergeCell ref="Q3:W3"/>
    <mergeCell ref="Y3:A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C965F-672E-4F27-9DD7-1C51D1940194}">
  <dimension ref="A3:AF270"/>
  <sheetViews>
    <sheetView tabSelected="1" topLeftCell="G1" workbookViewId="0">
      <selection activeCell="L4" sqref="L4"/>
    </sheetView>
  </sheetViews>
  <sheetFormatPr baseColWidth="10" defaultColWidth="12.33203125" defaultRowHeight="15" x14ac:dyDescent="0.2"/>
  <sheetData>
    <row r="3" spans="1:32" x14ac:dyDescent="0.2">
      <c r="F3" s="4" t="s">
        <v>425</v>
      </c>
      <c r="G3" s="4"/>
      <c r="H3" s="4"/>
      <c r="I3" s="1"/>
      <c r="J3" s="5" t="s">
        <v>426</v>
      </c>
      <c r="K3" s="5"/>
      <c r="L3" s="5"/>
      <c r="M3" s="5"/>
      <c r="N3" s="5"/>
      <c r="O3" s="5"/>
      <c r="P3" s="1"/>
      <c r="Q3" s="6" t="s">
        <v>427</v>
      </c>
      <c r="R3" s="6"/>
      <c r="S3" s="6"/>
      <c r="T3" s="6"/>
      <c r="U3" s="6"/>
      <c r="V3" s="6"/>
      <c r="W3" s="6"/>
      <c r="Y3" s="7" t="s">
        <v>428</v>
      </c>
      <c r="Z3" s="7"/>
      <c r="AA3" s="7"/>
      <c r="AB3" s="7"/>
      <c r="AD3" t="s">
        <v>429</v>
      </c>
    </row>
    <row r="4" spans="1:32" s="3" customFormat="1" ht="32" x14ac:dyDescent="0.2">
      <c r="A4" s="2" t="s">
        <v>0</v>
      </c>
      <c r="B4" s="2" t="s">
        <v>1</v>
      </c>
      <c r="C4" s="2" t="s">
        <v>2</v>
      </c>
      <c r="D4" s="2" t="s">
        <v>3</v>
      </c>
      <c r="F4" s="2" t="s">
        <v>408</v>
      </c>
      <c r="G4" s="2" t="s">
        <v>409</v>
      </c>
      <c r="H4" s="2" t="s">
        <v>411</v>
      </c>
      <c r="I4" s="2"/>
      <c r="J4" s="2" t="s">
        <v>411</v>
      </c>
      <c r="K4" s="2" t="s">
        <v>412</v>
      </c>
      <c r="L4" s="2" t="s">
        <v>413</v>
      </c>
      <c r="M4" s="2" t="s">
        <v>415</v>
      </c>
      <c r="N4" s="2" t="s">
        <v>414</v>
      </c>
      <c r="O4" s="2" t="s">
        <v>423</v>
      </c>
      <c r="P4" s="2"/>
      <c r="Q4" s="2" t="s">
        <v>414</v>
      </c>
      <c r="R4" s="2" t="s">
        <v>423</v>
      </c>
      <c r="S4" s="2" t="s">
        <v>419</v>
      </c>
      <c r="T4" s="2" t="s">
        <v>418</v>
      </c>
      <c r="U4" s="2" t="s">
        <v>417</v>
      </c>
      <c r="V4" s="2" t="s">
        <v>416</v>
      </c>
      <c r="W4" s="2" t="s">
        <v>420</v>
      </c>
      <c r="X4" s="2"/>
      <c r="Y4" s="2" t="s">
        <v>421</v>
      </c>
      <c r="Z4" s="2" t="s">
        <v>422</v>
      </c>
      <c r="AA4" s="2" t="s">
        <v>424</v>
      </c>
      <c r="AB4" s="2" t="s">
        <v>410</v>
      </c>
    </row>
    <row r="5" spans="1:32" s="3" customFormat="1" ht="16" x14ac:dyDescent="0.2">
      <c r="A5" s="2">
        <v>30</v>
      </c>
      <c r="B5" s="2" t="s">
        <v>4</v>
      </c>
      <c r="C5" s="2" t="s">
        <v>5</v>
      </c>
      <c r="D5" s="2" t="s">
        <v>6</v>
      </c>
      <c r="F5" s="3">
        <f>0.75*Sheet1!F5</f>
        <v>4.9166249999999998</v>
      </c>
      <c r="G5" s="3">
        <f>1.25*Sheet1!G5</f>
        <v>6.4162499999999998</v>
      </c>
      <c r="H5" s="3">
        <f>1.25*Sheet1!H5</f>
        <v>5.2549999999999999</v>
      </c>
      <c r="J5" s="3">
        <f>1.25*Sheet1!J5</f>
        <v>5.2549999999999999</v>
      </c>
      <c r="K5" s="3">
        <f>1.25*Sheet1!K5</f>
        <v>5.4468750000000004</v>
      </c>
      <c r="L5" s="3">
        <f>1.25*Sheet1!L5</f>
        <v>1.25</v>
      </c>
      <c r="M5" s="3">
        <f>1.5*Sheet1!M5</f>
        <v>9.7717500000000008</v>
      </c>
      <c r="N5" s="3">
        <f>1.25*Sheet1!N5</f>
        <v>10.838749999999999</v>
      </c>
      <c r="O5" s="3">
        <f>1.5*Sheet1!O5</f>
        <v>7.3222500000000004</v>
      </c>
      <c r="Q5" s="3">
        <f>1*Sheet1!Q5</f>
        <v>8.6709999999999994</v>
      </c>
      <c r="R5" s="3">
        <f>1.25*Sheet1!R5</f>
        <v>6.1018749999999997</v>
      </c>
      <c r="S5" s="3">
        <f>1.5*Sheet1!S5</f>
        <v>2.6640000000000001</v>
      </c>
      <c r="T5" s="3">
        <f>1.5*Sheet1!T5</f>
        <v>9.8114999999999846</v>
      </c>
      <c r="U5" s="3">
        <f>0.75*Sheet1!U5</f>
        <v>2.718375</v>
      </c>
      <c r="V5" s="3">
        <f>0.75*Sheet1!V5</f>
        <v>5.2781249999999993</v>
      </c>
      <c r="W5" s="3">
        <f>0.75*Sheet1!W5</f>
        <v>1.0766249999999924</v>
      </c>
      <c r="Y5" s="3">
        <f>1.25*Sheet1!Y5</f>
        <v>6.4506249999999996</v>
      </c>
      <c r="Z5" s="3">
        <f>0.5*Sheet1!Z5</f>
        <v>2.6917499999999999</v>
      </c>
      <c r="AA5" s="3">
        <f>0.5*Sheet1!AA5</f>
        <v>0.63300000000000001</v>
      </c>
      <c r="AB5" s="3">
        <f>0.5*Sheet1!AB5</f>
        <v>1.010375</v>
      </c>
      <c r="AD5" s="3">
        <f>SUM(F5:AB5)</f>
        <v>103.57974999999996</v>
      </c>
      <c r="AF5" s="3">
        <f>MAX(AD5:AD270)</f>
        <v>164.54593749999998</v>
      </c>
    </row>
    <row r="6" spans="1:32" s="3" customFormat="1" ht="16" x14ac:dyDescent="0.2">
      <c r="A6" s="2">
        <v>5</v>
      </c>
      <c r="B6" s="2" t="s">
        <v>7</v>
      </c>
      <c r="C6" s="2" t="s">
        <v>8</v>
      </c>
      <c r="D6" s="2" t="s">
        <v>6</v>
      </c>
      <c r="F6" s="3">
        <f>0.75*Sheet1!F6</f>
        <v>4.0751249999999999</v>
      </c>
      <c r="G6" s="3">
        <f>1.25*Sheet1!G6</f>
        <v>3.92625</v>
      </c>
      <c r="H6" s="3">
        <f>1.25*Sheet1!H6</f>
        <v>5.9649999999999999</v>
      </c>
      <c r="J6" s="3">
        <f>1.25*Sheet1!J6</f>
        <v>5.9649999999999999</v>
      </c>
      <c r="K6" s="3">
        <f>1.25*Sheet1!K6</f>
        <v>3.493125</v>
      </c>
      <c r="L6" s="3">
        <f>1.25*Sheet1!L6</f>
        <v>0</v>
      </c>
      <c r="M6" s="3">
        <f>1.5*Sheet1!M6</f>
        <v>9.7717500000000008</v>
      </c>
      <c r="N6" s="3">
        <f>1.25*Sheet1!N6</f>
        <v>10.838749999999999</v>
      </c>
      <c r="O6" s="3">
        <f>1.5*Sheet1!O6</f>
        <v>10.6395</v>
      </c>
      <c r="Q6" s="3">
        <f>1*Sheet1!Q6</f>
        <v>8.6709999999999994</v>
      </c>
      <c r="R6" s="3">
        <f>1.25*Sheet1!R6</f>
        <v>8.8662500000000009</v>
      </c>
      <c r="S6" s="3">
        <f>1.5*Sheet1!S6</f>
        <v>5.205749999999985</v>
      </c>
      <c r="T6" s="3">
        <f>1.5*Sheet1!T6</f>
        <v>9.0904999999999951</v>
      </c>
      <c r="U6" s="3">
        <f>0.75*Sheet1!U6</f>
        <v>2.718375</v>
      </c>
      <c r="V6" s="3">
        <f>0.75*Sheet1!V6</f>
        <v>6.9540000000000006</v>
      </c>
      <c r="W6" s="3">
        <f>0.75*Sheet1!W6</f>
        <v>1.3034999999999926</v>
      </c>
      <c r="Y6" s="3">
        <f>1.25*Sheet1!Y6</f>
        <v>6.2056250000000004</v>
      </c>
      <c r="Z6" s="3">
        <f>0.5*Sheet1!Z6</f>
        <v>1.633</v>
      </c>
      <c r="AA6" s="3">
        <f>0.5*Sheet1!AA6</f>
        <v>2.6789999999999998</v>
      </c>
      <c r="AB6" s="3">
        <f>0.5*Sheet1!AB6</f>
        <v>2.3576249999999952</v>
      </c>
      <c r="AD6" s="3">
        <f t="shared" ref="AD6:AD69" si="0">SUM(F6:AB6)</f>
        <v>110.35912499999995</v>
      </c>
      <c r="AF6" s="3">
        <f>MATCH(AF5,AD5:AD270,0)</f>
        <v>203</v>
      </c>
    </row>
    <row r="7" spans="1:32" s="3" customFormat="1" ht="16" x14ac:dyDescent="0.2">
      <c r="A7" s="2">
        <v>46</v>
      </c>
      <c r="B7" s="2" t="s">
        <v>9</v>
      </c>
      <c r="C7" s="2" t="s">
        <v>10</v>
      </c>
      <c r="D7" s="2" t="s">
        <v>11</v>
      </c>
      <c r="F7" s="3">
        <f>0.75*Sheet1!F7</f>
        <v>6.609</v>
      </c>
      <c r="G7" s="3">
        <f>1.25*Sheet1!G7</f>
        <v>9.7049999999999876</v>
      </c>
      <c r="H7" s="3">
        <f>1.25*Sheet1!H7</f>
        <v>1.96</v>
      </c>
      <c r="J7" s="3">
        <f>1.25*Sheet1!J7</f>
        <v>1.96</v>
      </c>
      <c r="K7" s="3">
        <f>1.25*Sheet1!K7</f>
        <v>5.8412499999999881</v>
      </c>
      <c r="L7" s="3">
        <f>1.25*Sheet1!L7</f>
        <v>2.8875000000000002</v>
      </c>
      <c r="M7" s="3">
        <f>1.5*Sheet1!M7</f>
        <v>4.3259999999999996</v>
      </c>
      <c r="N7" s="3">
        <f>1.25*Sheet1!N7</f>
        <v>5.0566666666666631</v>
      </c>
      <c r="O7" s="3">
        <f>1.5*Sheet1!O7</f>
        <v>12.875999999999999</v>
      </c>
      <c r="Q7" s="3">
        <f>1*Sheet1!Q7</f>
        <v>4.0453333333333301</v>
      </c>
      <c r="R7" s="3">
        <f>1.25*Sheet1!R7</f>
        <v>10.73</v>
      </c>
      <c r="S7" s="3">
        <f>1.5*Sheet1!S7</f>
        <v>9.0592500000000005</v>
      </c>
      <c r="T7" s="3">
        <f>1.5*Sheet1!T7</f>
        <v>10.468499999999985</v>
      </c>
      <c r="U7" s="3">
        <f>0.75*Sheet1!U7</f>
        <v>1.0665</v>
      </c>
      <c r="V7" s="3">
        <f>0.75*Sheet1!V7</f>
        <v>3.6517499999999998</v>
      </c>
      <c r="W7" s="3">
        <f>0.75*Sheet1!W7</f>
        <v>2.8275000000000001</v>
      </c>
      <c r="Y7" s="3">
        <f>1.25*Sheet1!Y7</f>
        <v>1.9093749999999876</v>
      </c>
      <c r="Z7" s="3">
        <f>0.5*Sheet1!Z7</f>
        <v>3.8367499999999999</v>
      </c>
      <c r="AA7" s="3">
        <f>0.5*Sheet1!AA7</f>
        <v>2.2677499999999999</v>
      </c>
      <c r="AB7" s="3">
        <f>0.5*Sheet1!AB7</f>
        <v>2.4617499999999999</v>
      </c>
      <c r="AD7" s="3">
        <f t="shared" si="0"/>
        <v>103.54587499999995</v>
      </c>
      <c r="AF7" s="3" t="str">
        <f>B203</f>
        <v>Moscow</v>
      </c>
    </row>
    <row r="8" spans="1:32" s="3" customFormat="1" ht="16" x14ac:dyDescent="0.2">
      <c r="A8" s="2">
        <v>188</v>
      </c>
      <c r="B8" s="2" t="s">
        <v>12</v>
      </c>
      <c r="C8" s="2" t="s">
        <v>13</v>
      </c>
      <c r="D8" s="2" t="s">
        <v>6</v>
      </c>
      <c r="F8" s="3">
        <f>0.75*Sheet1!F8</f>
        <v>4.8997499999999921</v>
      </c>
      <c r="G8" s="3">
        <f>1.25*Sheet1!G8</f>
        <v>7.76</v>
      </c>
      <c r="H8" s="3">
        <f>1.25*Sheet1!H8</f>
        <v>5.61</v>
      </c>
      <c r="J8" s="3">
        <f>1.25*Sheet1!J8</f>
        <v>5.61</v>
      </c>
      <c r="K8" s="3">
        <f>1.25*Sheet1!K8</f>
        <v>8.1356249999999992</v>
      </c>
      <c r="L8" s="3">
        <f>1.25*Sheet1!L8</f>
        <v>5.6974999999999998</v>
      </c>
      <c r="M8" s="3">
        <f>1.5*Sheet1!M8</f>
        <v>9.7717500000000008</v>
      </c>
      <c r="N8" s="3">
        <f>1.25*Sheet1!N8</f>
        <v>10.838749999999999</v>
      </c>
      <c r="O8" s="3">
        <f>1.5*Sheet1!O8</f>
        <v>8.3474999999999842</v>
      </c>
      <c r="Q8" s="3">
        <f>1*Sheet1!Q8</f>
        <v>8.6709999999999994</v>
      </c>
      <c r="R8" s="3">
        <f>1.25*Sheet1!R8</f>
        <v>6.9562499999999874</v>
      </c>
      <c r="S8" s="3">
        <f>1.5*Sheet1!S8</f>
        <v>3.8744999999999852</v>
      </c>
      <c r="T8" s="3">
        <f>1.5*Sheet1!T8</f>
        <v>9.1894999999999953</v>
      </c>
      <c r="U8" s="3">
        <f>0.75*Sheet1!U8</f>
        <v>3.4432499999999928</v>
      </c>
      <c r="V8" s="3">
        <f>0.75*Sheet1!V8</f>
        <v>3.468937499999992</v>
      </c>
      <c r="W8" s="3">
        <f>0.75*Sheet1!W8</f>
        <v>2.4768749999999926</v>
      </c>
      <c r="Y8" s="3">
        <f>1.25*Sheet1!Y8</f>
        <v>7.7225000000000001</v>
      </c>
      <c r="Z8" s="3">
        <f>0.5*Sheet1!Z8</f>
        <v>3.4049999999999998</v>
      </c>
      <c r="AA8" s="3">
        <f>0.5*Sheet1!AA8</f>
        <v>3.36775</v>
      </c>
      <c r="AB8" s="3">
        <f>0.5*Sheet1!AB8</f>
        <v>2.41425</v>
      </c>
      <c r="AD8" s="3">
        <f t="shared" si="0"/>
        <v>121.66068749999992</v>
      </c>
    </row>
    <row r="9" spans="1:32" s="3" customFormat="1" ht="16" x14ac:dyDescent="0.2">
      <c r="A9" s="2">
        <v>263</v>
      </c>
      <c r="B9" s="2" t="s">
        <v>14</v>
      </c>
      <c r="C9" s="2" t="s">
        <v>15</v>
      </c>
      <c r="D9" s="2" t="s">
        <v>16</v>
      </c>
      <c r="F9" s="3">
        <f>0.75*Sheet1!F9</f>
        <v>7.2708750000000002</v>
      </c>
      <c r="G9" s="3">
        <f>1.25*Sheet1!G9</f>
        <v>11.788749999999999</v>
      </c>
      <c r="H9" s="3">
        <f>1.25*Sheet1!H9</f>
        <v>10.06875</v>
      </c>
      <c r="J9" s="3">
        <f>1.25*Sheet1!J9</f>
        <v>10.06875</v>
      </c>
      <c r="K9" s="3">
        <f>1.25*Sheet1!K9</f>
        <v>4.9081250000000001</v>
      </c>
      <c r="L9" s="3">
        <f>1.25*Sheet1!L9</f>
        <v>0</v>
      </c>
      <c r="M9" s="3">
        <f>1.5*Sheet1!M9</f>
        <v>5.1870000000000003</v>
      </c>
      <c r="N9" s="3">
        <f>1.25*Sheet1!N9</f>
        <v>8.1262499999999864</v>
      </c>
      <c r="O9" s="3">
        <f>1.5*Sheet1!O9</f>
        <v>11.01975</v>
      </c>
      <c r="Q9" s="3">
        <f>1*Sheet1!Q9</f>
        <v>6.5009999999999897</v>
      </c>
      <c r="R9" s="3">
        <f>1.25*Sheet1!R9</f>
        <v>9.1831250000000004</v>
      </c>
      <c r="S9" s="3">
        <f>1.5*Sheet1!S9</f>
        <v>13.3095</v>
      </c>
      <c r="T9" s="3">
        <f>1.5*Sheet1!T9</f>
        <v>7.6530000000000005</v>
      </c>
      <c r="U9" s="3">
        <f>0.75*Sheet1!U9</f>
        <v>0</v>
      </c>
      <c r="V9" s="3">
        <f>0.75*Sheet1!V9</f>
        <v>3.3296250000000001</v>
      </c>
      <c r="W9" s="3">
        <f>0.75*Sheet1!W9</f>
        <v>1.3402499999999999</v>
      </c>
      <c r="Y9" s="3">
        <f>1.25*Sheet1!Y9</f>
        <v>4.8749999999999876</v>
      </c>
      <c r="Z9" s="3">
        <f>0.5*Sheet1!Z9</f>
        <v>2.3685</v>
      </c>
      <c r="AA9" s="3">
        <f>0.5*Sheet1!AA9</f>
        <v>3.8882500000000002</v>
      </c>
      <c r="AB9" s="3">
        <f>0.5*Sheet1!AB9</f>
        <v>2.8246250000000002</v>
      </c>
      <c r="AD9" s="3">
        <f t="shared" si="0"/>
        <v>123.71112499999995</v>
      </c>
    </row>
    <row r="10" spans="1:32" s="3" customFormat="1" ht="16" x14ac:dyDescent="0.2">
      <c r="A10" s="2">
        <v>1</v>
      </c>
      <c r="B10" s="2" t="s">
        <v>17</v>
      </c>
      <c r="C10" s="2" t="s">
        <v>18</v>
      </c>
      <c r="D10" s="2" t="s">
        <v>19</v>
      </c>
      <c r="F10" s="3">
        <f>0.75*Sheet1!F10</f>
        <v>4.7321249999999999</v>
      </c>
      <c r="G10" s="3">
        <f>1.25*Sheet1!G10</f>
        <v>5.8650000000000002</v>
      </c>
      <c r="H10" s="3">
        <f>1.25*Sheet1!H10</f>
        <v>5.7356249999999998</v>
      </c>
      <c r="J10" s="3">
        <f>1.25*Sheet1!J10</f>
        <v>5.7356249999999998</v>
      </c>
      <c r="K10" s="3">
        <f>1.25*Sheet1!K10</f>
        <v>3.9206249999999998</v>
      </c>
      <c r="L10" s="3">
        <f>1.25*Sheet1!L10</f>
        <v>3.3000000000000003</v>
      </c>
      <c r="M10" s="3">
        <f>1.5*Sheet1!M10</f>
        <v>9.1042500000000004</v>
      </c>
      <c r="N10" s="3">
        <f>1.25*Sheet1!N10</f>
        <v>11.749583333333325</v>
      </c>
      <c r="O10" s="3">
        <f>1.5*Sheet1!O10</f>
        <v>11.733000000000001</v>
      </c>
      <c r="Q10" s="3">
        <f>1*Sheet1!Q10</f>
        <v>9.3996666666666595</v>
      </c>
      <c r="R10" s="3">
        <f>1.25*Sheet1!R10</f>
        <v>9.7774999999999999</v>
      </c>
      <c r="S10" s="3">
        <f>1.5*Sheet1!S10</f>
        <v>11.888999999999999</v>
      </c>
      <c r="T10" s="3">
        <f>1.5*Sheet1!T10</f>
        <v>11.90499999999999</v>
      </c>
      <c r="U10" s="3">
        <f>0.75*Sheet1!U10</f>
        <v>3.8564999999999925</v>
      </c>
      <c r="V10" s="3">
        <f>0.75*Sheet1!V10</f>
        <v>6.2480624999999996</v>
      </c>
      <c r="W10" s="3">
        <f>0.75*Sheet1!W10</f>
        <v>1.3323749999999999</v>
      </c>
      <c r="Y10" s="3">
        <f>1.25*Sheet1!Y10</f>
        <v>5.4262500000000005</v>
      </c>
      <c r="Z10" s="3">
        <f>0.5*Sheet1!Z10</f>
        <v>2.16425</v>
      </c>
      <c r="AA10" s="3">
        <f>0.5*Sheet1!AA10</f>
        <v>2.7654999999999998</v>
      </c>
      <c r="AB10" s="3">
        <f>0.5*Sheet1!AB10</f>
        <v>2.6681249999999999</v>
      </c>
      <c r="AD10" s="3">
        <f t="shared" si="0"/>
        <v>129.30806249999998</v>
      </c>
    </row>
    <row r="11" spans="1:32" s="3" customFormat="1" ht="16" x14ac:dyDescent="0.2">
      <c r="A11" s="2">
        <v>40</v>
      </c>
      <c r="B11" s="2" t="s">
        <v>20</v>
      </c>
      <c r="C11" s="2" t="s">
        <v>18</v>
      </c>
      <c r="D11" s="2" t="s">
        <v>19</v>
      </c>
      <c r="F11" s="3">
        <f>0.75*Sheet1!F11</f>
        <v>3.9089999999999998</v>
      </c>
      <c r="G11" s="3">
        <f>1.25*Sheet1!G11</f>
        <v>6.4712499999999995</v>
      </c>
      <c r="H11" s="3">
        <f>1.25*Sheet1!H11</f>
        <v>5.7356249999999998</v>
      </c>
      <c r="J11" s="3">
        <f>1.25*Sheet1!J11</f>
        <v>5.7356249999999998</v>
      </c>
      <c r="K11" s="3">
        <f>1.25*Sheet1!K11</f>
        <v>7.92875</v>
      </c>
      <c r="L11" s="3">
        <f>1.25*Sheet1!L11</f>
        <v>4.0500000000000007</v>
      </c>
      <c r="M11" s="3">
        <f>1.5*Sheet1!M11</f>
        <v>9.1042500000000004</v>
      </c>
      <c r="N11" s="3">
        <f>1.25*Sheet1!N11</f>
        <v>11.749583333333325</v>
      </c>
      <c r="O11" s="3">
        <f>1.5*Sheet1!O11</f>
        <v>11.234249999999999</v>
      </c>
      <c r="Q11" s="3">
        <f>1*Sheet1!Q11</f>
        <v>9.3996666666666595</v>
      </c>
      <c r="R11" s="3">
        <f>1.25*Sheet1!R11</f>
        <v>9.3618749999999995</v>
      </c>
      <c r="S11" s="3">
        <f>1.5*Sheet1!S11</f>
        <v>11.85525</v>
      </c>
      <c r="T11" s="3">
        <f>1.5*Sheet1!T11</f>
        <v>12.476499999999991</v>
      </c>
      <c r="U11" s="3">
        <f>0.75*Sheet1!U11</f>
        <v>4.4407499999999924</v>
      </c>
      <c r="V11" s="3">
        <f>0.75*Sheet1!V11</f>
        <v>6.6208124999999995</v>
      </c>
      <c r="W11" s="3">
        <f>0.75*Sheet1!W11</f>
        <v>1.8258749999999999</v>
      </c>
      <c r="Y11" s="3">
        <f>1.25*Sheet1!Y11</f>
        <v>5.5093749999999995</v>
      </c>
      <c r="Z11" s="3">
        <f>0.5*Sheet1!Z11</f>
        <v>2.0049999999999999</v>
      </c>
      <c r="AA11" s="3">
        <f>0.5*Sheet1!AA11</f>
        <v>3.12825</v>
      </c>
      <c r="AB11" s="3">
        <f>0.5*Sheet1!AB11</f>
        <v>2.308875</v>
      </c>
      <c r="AD11" s="3">
        <f t="shared" si="0"/>
        <v>134.85056249999997</v>
      </c>
    </row>
    <row r="12" spans="1:32" s="3" customFormat="1" ht="16" x14ac:dyDescent="0.2">
      <c r="A12" s="2">
        <v>153</v>
      </c>
      <c r="B12" s="2" t="s">
        <v>21</v>
      </c>
      <c r="C12" s="2" t="s">
        <v>18</v>
      </c>
      <c r="D12" s="2" t="s">
        <v>19</v>
      </c>
      <c r="F12" s="3">
        <f>0.75*Sheet1!F12</f>
        <v>3.6224999999999925</v>
      </c>
      <c r="G12" s="3">
        <f>1.25*Sheet1!G12</f>
        <v>5.9975000000000005</v>
      </c>
      <c r="H12" s="3">
        <f>1.25*Sheet1!H12</f>
        <v>5.7356249999999998</v>
      </c>
      <c r="J12" s="3">
        <f>1.25*Sheet1!J12</f>
        <v>5.7356249999999998</v>
      </c>
      <c r="K12" s="3">
        <f>1.25*Sheet1!K12</f>
        <v>10.255000000000001</v>
      </c>
      <c r="L12" s="3">
        <f>1.25*Sheet1!L12</f>
        <v>6.2749999999999995</v>
      </c>
      <c r="M12" s="3">
        <f>1.5*Sheet1!M12</f>
        <v>9.1042500000000004</v>
      </c>
      <c r="N12" s="3">
        <f>1.25*Sheet1!N12</f>
        <v>11.749583333333325</v>
      </c>
      <c r="O12" s="3">
        <f>1.5*Sheet1!O12</f>
        <v>10.50075</v>
      </c>
      <c r="Q12" s="3">
        <f>1*Sheet1!Q12</f>
        <v>9.3996666666666595</v>
      </c>
      <c r="R12" s="3">
        <f>1.25*Sheet1!R12</f>
        <v>8.7506249999999994</v>
      </c>
      <c r="S12" s="3">
        <f>1.5*Sheet1!S12</f>
        <v>10.69875</v>
      </c>
      <c r="T12" s="3">
        <f>1.5*Sheet1!T12</f>
        <v>12.023999999999983</v>
      </c>
      <c r="U12" s="3">
        <f>0.75*Sheet1!U12</f>
        <v>4.6653749999999921</v>
      </c>
      <c r="V12" s="3">
        <f>0.75*Sheet1!V12</f>
        <v>5.9186249999999925</v>
      </c>
      <c r="W12" s="3">
        <f>0.75*Sheet1!W12</f>
        <v>2.1348750000000001</v>
      </c>
      <c r="Y12" s="3">
        <f>1.25*Sheet1!Y12</f>
        <v>7.37</v>
      </c>
      <c r="Z12" s="3">
        <f>0.5*Sheet1!Z12</f>
        <v>3.2305000000000001</v>
      </c>
      <c r="AA12" s="3">
        <f>0.5*Sheet1!AA12</f>
        <v>3.1014999999999948</v>
      </c>
      <c r="AB12" s="3">
        <f>0.5*Sheet1!AB12</f>
        <v>2.4359999999999999</v>
      </c>
      <c r="AD12" s="3">
        <f t="shared" si="0"/>
        <v>138.70574999999994</v>
      </c>
    </row>
    <row r="13" spans="1:32" s="3" customFormat="1" ht="16" x14ac:dyDescent="0.2">
      <c r="A13" s="2">
        <v>185</v>
      </c>
      <c r="B13" s="2" t="s">
        <v>22</v>
      </c>
      <c r="C13" s="2" t="s">
        <v>18</v>
      </c>
      <c r="D13" s="2" t="s">
        <v>19</v>
      </c>
      <c r="F13" s="3">
        <f>0.75*Sheet1!F13</f>
        <v>3.9247499999999995</v>
      </c>
      <c r="G13" s="3">
        <f>1.25*Sheet1!G13</f>
        <v>5.9937500000000004</v>
      </c>
      <c r="H13" s="3">
        <f>1.25*Sheet1!H13</f>
        <v>5.7356249999999998</v>
      </c>
      <c r="J13" s="3">
        <f>1.25*Sheet1!J13</f>
        <v>5.7356249999999998</v>
      </c>
      <c r="K13" s="3">
        <f>1.25*Sheet1!K13</f>
        <v>6.4087499999999995</v>
      </c>
      <c r="L13" s="3">
        <f>1.25*Sheet1!L13</f>
        <v>3.8774999999999999</v>
      </c>
      <c r="M13" s="3">
        <f>1.5*Sheet1!M13</f>
        <v>9.1042500000000004</v>
      </c>
      <c r="N13" s="3">
        <f>1.25*Sheet1!N13</f>
        <v>11.749583333333325</v>
      </c>
      <c r="O13" s="3">
        <f>1.5*Sheet1!O13</f>
        <v>11.20575</v>
      </c>
      <c r="Q13" s="3">
        <f>1*Sheet1!Q13</f>
        <v>9.3996666666666595</v>
      </c>
      <c r="R13" s="3">
        <f>1.25*Sheet1!R13</f>
        <v>9.3381249999999998</v>
      </c>
      <c r="S13" s="3">
        <f>1.5*Sheet1!S13</f>
        <v>10.656749999999999</v>
      </c>
      <c r="T13" s="3">
        <f>1.5*Sheet1!T13</f>
        <v>12.088999999999995</v>
      </c>
      <c r="U13" s="3">
        <f>0.75*Sheet1!U13</f>
        <v>3.8572499999999996</v>
      </c>
      <c r="V13" s="3">
        <f>0.75*Sheet1!V13</f>
        <v>6.0993750000000002</v>
      </c>
      <c r="W13" s="3">
        <f>0.75*Sheet1!W13</f>
        <v>1.5828749999999925</v>
      </c>
      <c r="Y13" s="3">
        <f>1.25*Sheet1!Y13</f>
        <v>5.2231249999999996</v>
      </c>
      <c r="Z13" s="3">
        <f>0.5*Sheet1!Z13</f>
        <v>2.2557499999999999</v>
      </c>
      <c r="AA13" s="3">
        <f>0.5*Sheet1!AA13</f>
        <v>2.8417500000000002</v>
      </c>
      <c r="AB13" s="3">
        <f>0.5*Sheet1!AB13</f>
        <v>2.3475000000000001</v>
      </c>
      <c r="AD13" s="3">
        <f t="shared" si="0"/>
        <v>129.42674999999997</v>
      </c>
    </row>
    <row r="14" spans="1:32" s="3" customFormat="1" ht="16" x14ac:dyDescent="0.2">
      <c r="A14" s="2">
        <v>232</v>
      </c>
      <c r="B14" s="2" t="s">
        <v>23</v>
      </c>
      <c r="C14" s="2" t="s">
        <v>18</v>
      </c>
      <c r="D14" s="2" t="s">
        <v>19</v>
      </c>
      <c r="F14" s="3">
        <f>0.75*Sheet1!F14</f>
        <v>1.4898750000000001</v>
      </c>
      <c r="G14" s="3">
        <f>1.25*Sheet1!G14</f>
        <v>5.16</v>
      </c>
      <c r="H14" s="3">
        <f>1.25*Sheet1!H14</f>
        <v>5.7356249999999998</v>
      </c>
      <c r="J14" s="3">
        <f>1.25*Sheet1!J14</f>
        <v>5.7356249999999998</v>
      </c>
      <c r="K14" s="3">
        <f>1.25*Sheet1!K14</f>
        <v>10.908125</v>
      </c>
      <c r="L14" s="3">
        <f>1.25*Sheet1!L14</f>
        <v>8.0337499999999995</v>
      </c>
      <c r="M14" s="3">
        <f>1.5*Sheet1!M14</f>
        <v>9.1042500000000004</v>
      </c>
      <c r="N14" s="3">
        <f>1.25*Sheet1!N14</f>
        <v>11.749583333333325</v>
      </c>
      <c r="O14" s="3">
        <f>1.5*Sheet1!O14</f>
        <v>10.54875</v>
      </c>
      <c r="Q14" s="3">
        <f>1*Sheet1!Q14</f>
        <v>9.3996666666666595</v>
      </c>
      <c r="R14" s="3">
        <f>1.25*Sheet1!R14</f>
        <v>8.7906250000000004</v>
      </c>
      <c r="S14" s="3">
        <f>1.5*Sheet1!S14</f>
        <v>11.3565</v>
      </c>
      <c r="T14" s="3">
        <f>1.5*Sheet1!T14</f>
        <v>12.050499999999989</v>
      </c>
      <c r="U14" s="3">
        <f>0.75*Sheet1!U14</f>
        <v>5.0441250000000002</v>
      </c>
      <c r="V14" s="3">
        <f>0.75*Sheet1!V14</f>
        <v>5.8625625000000001</v>
      </c>
      <c r="W14" s="3">
        <f>0.75*Sheet1!W14</f>
        <v>2.4637499999999926</v>
      </c>
      <c r="Y14" s="3">
        <f>1.25*Sheet1!Y14</f>
        <v>5.9206250000000002</v>
      </c>
      <c r="Z14" s="3">
        <f>0.5*Sheet1!Z14</f>
        <v>3.11375</v>
      </c>
      <c r="AA14" s="3">
        <f>0.5*Sheet1!AA14</f>
        <v>3.1317499999999998</v>
      </c>
      <c r="AB14" s="3">
        <f>0.5*Sheet1!AB14</f>
        <v>2.4255</v>
      </c>
      <c r="AD14" s="3">
        <f t="shared" si="0"/>
        <v>138.02493749999996</v>
      </c>
    </row>
    <row r="15" spans="1:32" s="3" customFormat="1" ht="16" x14ac:dyDescent="0.2">
      <c r="A15" s="2">
        <v>112</v>
      </c>
      <c r="B15" s="2" t="s">
        <v>24</v>
      </c>
      <c r="C15" s="2" t="s">
        <v>25</v>
      </c>
      <c r="D15" s="2" t="s">
        <v>26</v>
      </c>
      <c r="F15" s="3">
        <f>0.75*Sheet1!F15</f>
        <v>5.0310000000000006</v>
      </c>
      <c r="G15" s="3">
        <f>1.25*Sheet1!G15</f>
        <v>5.915</v>
      </c>
      <c r="H15" s="3">
        <f>1.25*Sheet1!H15</f>
        <v>3.3325</v>
      </c>
      <c r="J15" s="3">
        <f>1.25*Sheet1!J15</f>
        <v>3.3325</v>
      </c>
      <c r="K15" s="3">
        <f>1.25*Sheet1!K15</f>
        <v>2.6568749999999874</v>
      </c>
      <c r="L15" s="3">
        <f>1.25*Sheet1!L15</f>
        <v>0</v>
      </c>
      <c r="M15" s="3">
        <f>1.5*Sheet1!M15</f>
        <v>6.9945000000000004</v>
      </c>
      <c r="N15" s="3">
        <f>1.25*Sheet1!N15</f>
        <v>9.495000000000001</v>
      </c>
      <c r="O15" s="3">
        <f>1.5*Sheet1!O15</f>
        <v>12.728249999999985</v>
      </c>
      <c r="Q15" s="3">
        <f>1*Sheet1!Q15</f>
        <v>7.5960000000000001</v>
      </c>
      <c r="R15" s="3">
        <f>1.25*Sheet1!R15</f>
        <v>10.606874999999986</v>
      </c>
      <c r="S15" s="3">
        <f>1.5*Sheet1!S15</f>
        <v>12.4095</v>
      </c>
      <c r="T15" s="3">
        <f>1.5*Sheet1!T15</f>
        <v>11.826999999999989</v>
      </c>
      <c r="U15" s="3">
        <f>0.75*Sheet1!U15</f>
        <v>3.2475000000000001</v>
      </c>
      <c r="V15" s="3">
        <f>0.75*Sheet1!V15</f>
        <v>5.5244999999999997</v>
      </c>
      <c r="W15" s="3">
        <f>0.75*Sheet1!W15</f>
        <v>4.1771250000000002</v>
      </c>
      <c r="Y15" s="3">
        <f>1.25*Sheet1!Y15</f>
        <v>6.3243749999999999</v>
      </c>
      <c r="Z15" s="3">
        <f>0.5*Sheet1!Z15</f>
        <v>2.21225</v>
      </c>
      <c r="AA15" s="3">
        <f>0.5*Sheet1!AA15</f>
        <v>1.9817499999999999</v>
      </c>
      <c r="AB15" s="3">
        <f>0.5*Sheet1!AB15</f>
        <v>3.1869999999999998</v>
      </c>
      <c r="AD15" s="3">
        <f t="shared" si="0"/>
        <v>118.57949999999997</v>
      </c>
    </row>
    <row r="16" spans="1:32" s="3" customFormat="1" ht="16" x14ac:dyDescent="0.2">
      <c r="A16" s="2">
        <v>256</v>
      </c>
      <c r="B16" s="2" t="s">
        <v>27</v>
      </c>
      <c r="C16" s="2" t="s">
        <v>25</v>
      </c>
      <c r="D16" s="2" t="s">
        <v>26</v>
      </c>
      <c r="F16" s="3">
        <f>0.75*Sheet1!F16</f>
        <v>4.7355</v>
      </c>
      <c r="G16" s="3">
        <f>1.25*Sheet1!G16</f>
        <v>6.3887499999999999</v>
      </c>
      <c r="H16" s="3">
        <f>1.25*Sheet1!H16</f>
        <v>3.3325</v>
      </c>
      <c r="J16" s="3">
        <f>1.25*Sheet1!J16</f>
        <v>3.3325</v>
      </c>
      <c r="K16" s="3">
        <f>1.25*Sheet1!K16</f>
        <v>7.2475000000000005</v>
      </c>
      <c r="L16" s="3">
        <f>1.25*Sheet1!L16</f>
        <v>4.5437499999999993</v>
      </c>
      <c r="M16" s="3">
        <f>1.5*Sheet1!M16</f>
        <v>6.9945000000000004</v>
      </c>
      <c r="N16" s="3">
        <f>1.25*Sheet1!N16</f>
        <v>9.495000000000001</v>
      </c>
      <c r="O16" s="3">
        <f>1.5*Sheet1!O16</f>
        <v>13.445999999999984</v>
      </c>
      <c r="Q16" s="3">
        <f>1*Sheet1!Q16</f>
        <v>7.5960000000000001</v>
      </c>
      <c r="R16" s="3">
        <f>1.25*Sheet1!R16</f>
        <v>11.204999999999988</v>
      </c>
      <c r="S16" s="3">
        <f>1.5*Sheet1!S16</f>
        <v>12.894750000000002</v>
      </c>
      <c r="T16" s="3">
        <f>1.5*Sheet1!T16</f>
        <v>12.297000000000001</v>
      </c>
      <c r="U16" s="3">
        <f>0.75*Sheet1!U16</f>
        <v>3.6408749999999999</v>
      </c>
      <c r="V16" s="3">
        <f>0.75*Sheet1!V16</f>
        <v>6.9524999999999997</v>
      </c>
      <c r="W16" s="3">
        <f>0.75*Sheet1!W16</f>
        <v>6.0236249999999991</v>
      </c>
      <c r="Y16" s="3">
        <f>1.25*Sheet1!Y16</f>
        <v>7.7162500000000005</v>
      </c>
      <c r="Z16" s="3">
        <f>0.5*Sheet1!Z16</f>
        <v>4.2607499999999998</v>
      </c>
      <c r="AA16" s="3">
        <f>0.5*Sheet1!AA16</f>
        <v>2.6472499999999952</v>
      </c>
      <c r="AB16" s="3">
        <f>0.5*Sheet1!AB16</f>
        <v>3.1066250000000002</v>
      </c>
      <c r="AD16" s="3">
        <f t="shared" si="0"/>
        <v>137.85662499999995</v>
      </c>
    </row>
    <row r="17" spans="1:30" s="3" customFormat="1" ht="16" x14ac:dyDescent="0.2">
      <c r="A17" s="2">
        <v>14</v>
      </c>
      <c r="B17" s="2" t="s">
        <v>28</v>
      </c>
      <c r="C17" s="2" t="s">
        <v>29</v>
      </c>
      <c r="D17" s="2" t="s">
        <v>16</v>
      </c>
      <c r="F17" s="3">
        <f>0.75*Sheet1!F17</f>
        <v>7.3087499999999999</v>
      </c>
      <c r="G17" s="3">
        <f>1.25*Sheet1!G17</f>
        <v>12.257499999999999</v>
      </c>
      <c r="H17" s="3">
        <f>1.25*Sheet1!H17</f>
        <v>7.3262499999999999</v>
      </c>
      <c r="J17" s="3">
        <f>1.25*Sheet1!J17</f>
        <v>7.3262499999999999</v>
      </c>
      <c r="K17" s="3">
        <f>1.25*Sheet1!K17</f>
        <v>3.3381249999999874</v>
      </c>
      <c r="L17" s="3">
        <f>1.25*Sheet1!L17</f>
        <v>0</v>
      </c>
      <c r="M17" s="3">
        <f>1.5*Sheet1!M17</f>
        <v>5.8147500000000001</v>
      </c>
      <c r="N17" s="3">
        <f>1.25*Sheet1!N17</f>
        <v>7.0895833333333247</v>
      </c>
      <c r="O17" s="3">
        <f>1.5*Sheet1!O17</f>
        <v>9.8767500000000013</v>
      </c>
      <c r="Q17" s="3">
        <f>1*Sheet1!Q17</f>
        <v>5.6716666666666598</v>
      </c>
      <c r="R17" s="3">
        <f>1.25*Sheet1!R17</f>
        <v>8.2306249999999999</v>
      </c>
      <c r="S17" s="3">
        <f>1.5*Sheet1!S17</f>
        <v>13.158000000000001</v>
      </c>
      <c r="T17" s="3">
        <f>1.5*Sheet1!T17</f>
        <v>5.5529999999999848</v>
      </c>
      <c r="U17" s="3">
        <f>0.75*Sheet1!U17</f>
        <v>0</v>
      </c>
      <c r="V17" s="3">
        <f>0.75*Sheet1!V17</f>
        <v>1.9659374999999999</v>
      </c>
      <c r="W17" s="3">
        <f>0.75*Sheet1!W17</f>
        <v>1.6267499999999999</v>
      </c>
      <c r="Y17" s="3">
        <f>1.25*Sheet1!Y17</f>
        <v>1.8025</v>
      </c>
      <c r="Z17" s="3">
        <f>0.5*Sheet1!Z17</f>
        <v>3.10975</v>
      </c>
      <c r="AA17" s="3">
        <f>0.5*Sheet1!AA17</f>
        <v>2.2515000000000001</v>
      </c>
      <c r="AB17" s="3">
        <f>0.5*Sheet1!AB17</f>
        <v>2.746</v>
      </c>
      <c r="AD17" s="3">
        <f t="shared" si="0"/>
        <v>106.45368749999996</v>
      </c>
    </row>
    <row r="18" spans="1:30" s="3" customFormat="1" ht="16" x14ac:dyDescent="0.2">
      <c r="A18" s="2">
        <v>160</v>
      </c>
      <c r="B18" s="2" t="s">
        <v>30</v>
      </c>
      <c r="C18" s="2" t="s">
        <v>31</v>
      </c>
      <c r="D18" s="2" t="s">
        <v>26</v>
      </c>
      <c r="F18" s="3">
        <f>0.75*Sheet1!F18</f>
        <v>7.1216249999999999</v>
      </c>
      <c r="G18" s="3">
        <f>1.25*Sheet1!G18</f>
        <v>11.61125</v>
      </c>
      <c r="H18" s="3">
        <f>1.25*Sheet1!H18</f>
        <v>7.4075000000000006</v>
      </c>
      <c r="J18" s="3">
        <f>1.25*Sheet1!J18</f>
        <v>7.4075000000000006</v>
      </c>
      <c r="K18" s="3">
        <f>1.25*Sheet1!K18</f>
        <v>5.4731249999999996</v>
      </c>
      <c r="L18" s="3">
        <f>1.25*Sheet1!L18</f>
        <v>0</v>
      </c>
      <c r="M18" s="3">
        <f>1.5*Sheet1!M18</f>
        <v>4.806</v>
      </c>
      <c r="N18" s="3">
        <f>1.25*Sheet1!N18</f>
        <v>6.9954166666666628</v>
      </c>
      <c r="O18" s="3">
        <f>1.5*Sheet1!O18</f>
        <v>11.132249999999999</v>
      </c>
      <c r="Q18" s="3">
        <f>1*Sheet1!Q18</f>
        <v>5.5963333333333303</v>
      </c>
      <c r="R18" s="3">
        <f>1.25*Sheet1!R18</f>
        <v>9.2768750000000004</v>
      </c>
      <c r="S18" s="3">
        <f>1.5*Sheet1!S18</f>
        <v>13.557</v>
      </c>
      <c r="T18" s="3">
        <f>1.5*Sheet1!T18</f>
        <v>8.2659999999999911</v>
      </c>
      <c r="U18" s="3">
        <f>0.75*Sheet1!U18</f>
        <v>0.375</v>
      </c>
      <c r="V18" s="3">
        <f>0.75*Sheet1!V18</f>
        <v>5.2861875000000005</v>
      </c>
      <c r="W18" s="3">
        <f>0.75*Sheet1!W18</f>
        <v>2.8248749999999925</v>
      </c>
      <c r="Y18" s="3">
        <f>1.25*Sheet1!Y18</f>
        <v>6.0787500000000003</v>
      </c>
      <c r="Z18" s="3">
        <f>0.5*Sheet1!Z18</f>
        <v>3.4749999999999952</v>
      </c>
      <c r="AA18" s="3">
        <f>0.5*Sheet1!AA18</f>
        <v>2.4529999999999998</v>
      </c>
      <c r="AB18" s="3">
        <f>0.5*Sheet1!AB18</f>
        <v>2.68275</v>
      </c>
      <c r="AD18" s="3">
        <f t="shared" si="0"/>
        <v>121.82643749999997</v>
      </c>
    </row>
    <row r="19" spans="1:30" s="3" customFormat="1" ht="16" x14ac:dyDescent="0.2">
      <c r="A19" s="2">
        <v>43</v>
      </c>
      <c r="B19" s="2" t="s">
        <v>32</v>
      </c>
      <c r="C19" s="2" t="s">
        <v>33</v>
      </c>
      <c r="D19" s="2" t="s">
        <v>26</v>
      </c>
      <c r="F19" s="3">
        <f>0.75*Sheet1!F19</f>
        <v>4.7662499999999923</v>
      </c>
      <c r="G19" s="3">
        <f>1.25*Sheet1!G19</f>
        <v>5.5962500000000004</v>
      </c>
      <c r="H19" s="3">
        <f>1.25*Sheet1!H19</f>
        <v>2.3537499999999998</v>
      </c>
      <c r="J19" s="3">
        <f>1.25*Sheet1!J19</f>
        <v>2.3537499999999998</v>
      </c>
      <c r="K19" s="3">
        <f>1.25*Sheet1!K19</f>
        <v>7.114374999999999</v>
      </c>
      <c r="L19" s="3">
        <f>1.25*Sheet1!L19</f>
        <v>4.2174999999999869</v>
      </c>
      <c r="M19" s="3">
        <f>1.5*Sheet1!M19</f>
        <v>7.2172499999999999</v>
      </c>
      <c r="N19" s="3">
        <f>1.25*Sheet1!N19</f>
        <v>11.096249999999987</v>
      </c>
      <c r="O19" s="3">
        <f>1.5*Sheet1!O19</f>
        <v>9.7214999999999989</v>
      </c>
      <c r="Q19" s="3">
        <f>1*Sheet1!Q19</f>
        <v>8.87699999999999</v>
      </c>
      <c r="R19" s="3">
        <f>1.25*Sheet1!R19</f>
        <v>8.1012500000000003</v>
      </c>
      <c r="S19" s="3">
        <f>1.5*Sheet1!S19</f>
        <v>10.054500000000001</v>
      </c>
      <c r="T19" s="3">
        <f>1.5*Sheet1!T19</f>
        <v>12.237499999999994</v>
      </c>
      <c r="U19" s="3">
        <f>0.75*Sheet1!U19</f>
        <v>4.9897499999999999</v>
      </c>
      <c r="V19" s="3">
        <f>0.75*Sheet1!V19</f>
        <v>3.4432499999999999</v>
      </c>
      <c r="W19" s="3">
        <f>0.75*Sheet1!W19</f>
        <v>5.600625</v>
      </c>
      <c r="Y19" s="3">
        <f>1.25*Sheet1!Y19</f>
        <v>9.4643750000000004</v>
      </c>
      <c r="Z19" s="3">
        <f>0.5*Sheet1!Z19</f>
        <v>4.0719999999999947</v>
      </c>
      <c r="AA19" s="3">
        <f>0.5*Sheet1!AA19</f>
        <v>2.0615000000000001</v>
      </c>
      <c r="AB19" s="3">
        <f>0.5*Sheet1!AB19</f>
        <v>2.6933750000000001</v>
      </c>
      <c r="AD19" s="3">
        <f t="shared" si="0"/>
        <v>126.03199999999995</v>
      </c>
    </row>
    <row r="20" spans="1:30" s="3" customFormat="1" ht="16" x14ac:dyDescent="0.2">
      <c r="A20" s="2">
        <v>23</v>
      </c>
      <c r="B20" s="2" t="s">
        <v>34</v>
      </c>
      <c r="C20" s="2" t="s">
        <v>35</v>
      </c>
      <c r="D20" s="2" t="s">
        <v>6</v>
      </c>
      <c r="F20" s="3">
        <f>0.75*Sheet1!F20</f>
        <v>3.4818750000000001</v>
      </c>
      <c r="G20" s="3">
        <f>1.25*Sheet1!G20</f>
        <v>0</v>
      </c>
      <c r="H20" s="3">
        <f>1.25*Sheet1!H20</f>
        <v>8.6624999999999996</v>
      </c>
      <c r="J20" s="3">
        <f>1.25*Sheet1!J20</f>
        <v>8.6624999999999996</v>
      </c>
      <c r="K20" s="3">
        <f>1.25*Sheet1!K20</f>
        <v>2.3325</v>
      </c>
      <c r="L20" s="3">
        <f>1.25*Sheet1!L20</f>
        <v>0</v>
      </c>
      <c r="M20" s="3">
        <f>1.5*Sheet1!M20</f>
        <v>5.2439999999999847</v>
      </c>
      <c r="N20" s="3">
        <f>1.25*Sheet1!N20</f>
        <v>4.2637499999999875</v>
      </c>
      <c r="O20" s="3">
        <f>1.5*Sheet1!O20</f>
        <v>10.297499999999999</v>
      </c>
      <c r="Q20" s="3">
        <f>1*Sheet1!Q20</f>
        <v>3.4109999999999898</v>
      </c>
      <c r="R20" s="3">
        <f>1.25*Sheet1!R20</f>
        <v>8.5812500000000007</v>
      </c>
      <c r="S20" s="3">
        <f>1.5*Sheet1!S20</f>
        <v>9.0779999999999994</v>
      </c>
      <c r="T20" s="3">
        <f>1.5*Sheet1!T20</f>
        <v>8.2559999999999842</v>
      </c>
      <c r="U20" s="3">
        <f>0.75*Sheet1!U20</f>
        <v>0</v>
      </c>
      <c r="V20" s="3">
        <f>0.75*Sheet1!V20</f>
        <v>1.52325</v>
      </c>
      <c r="W20" s="3">
        <f>0.75*Sheet1!W20</f>
        <v>0.66749999999999998</v>
      </c>
      <c r="Y20" s="3">
        <f>1.25*Sheet1!Y20</f>
        <v>4.759374999999987</v>
      </c>
      <c r="Z20" s="3">
        <f>0.5*Sheet1!Z20</f>
        <v>0.53225</v>
      </c>
      <c r="AA20" s="3">
        <f>0.5*Sheet1!AA20</f>
        <v>0.25</v>
      </c>
      <c r="AB20" s="3">
        <f>0.5*Sheet1!AB20</f>
        <v>0</v>
      </c>
      <c r="AD20" s="3">
        <f t="shared" si="0"/>
        <v>80.003249999999952</v>
      </c>
    </row>
    <row r="21" spans="1:30" s="3" customFormat="1" ht="16" x14ac:dyDescent="0.2">
      <c r="A21" s="2">
        <v>127</v>
      </c>
      <c r="B21" s="2" t="s">
        <v>36</v>
      </c>
      <c r="C21" s="2" t="s">
        <v>37</v>
      </c>
      <c r="D21" s="2" t="s">
        <v>11</v>
      </c>
      <c r="F21" s="3">
        <f>0.75*Sheet1!F21</f>
        <v>3.5430000000000001</v>
      </c>
      <c r="G21" s="3">
        <f>1.25*Sheet1!G21</f>
        <v>0</v>
      </c>
      <c r="H21" s="3">
        <f>1.25*Sheet1!H21</f>
        <v>5.6862499999999869</v>
      </c>
      <c r="J21" s="3">
        <f>1.25*Sheet1!J21</f>
        <v>5.6862499999999869</v>
      </c>
      <c r="K21" s="3">
        <f>1.25*Sheet1!K21</f>
        <v>1.8718750000000002</v>
      </c>
      <c r="L21" s="3">
        <f>1.25*Sheet1!L21</f>
        <v>0</v>
      </c>
      <c r="M21" s="3">
        <f>1.5*Sheet1!M21</f>
        <v>6.8039999999999994</v>
      </c>
      <c r="N21" s="3">
        <f>1.25*Sheet1!N21</f>
        <v>4.3524999999999876</v>
      </c>
      <c r="O21" s="3">
        <f>1.5*Sheet1!O21</f>
        <v>9.4394999999999847</v>
      </c>
      <c r="Q21" s="3">
        <f>1*Sheet1!Q21</f>
        <v>3.48199999999999</v>
      </c>
      <c r="R21" s="3">
        <f>1.25*Sheet1!R21</f>
        <v>7.8662499999999884</v>
      </c>
      <c r="S21" s="3">
        <f>1.5*Sheet1!S21</f>
        <v>10.12575</v>
      </c>
      <c r="T21" s="3">
        <f>1.5*Sheet1!T21</f>
        <v>6.4739999999999851</v>
      </c>
      <c r="U21" s="3">
        <f>0.75*Sheet1!U21</f>
        <v>0</v>
      </c>
      <c r="V21" s="3">
        <f>0.75*Sheet1!V21</f>
        <v>1.3003125</v>
      </c>
      <c r="W21" s="3">
        <f>0.75*Sheet1!W21</f>
        <v>0.98924999999999996</v>
      </c>
      <c r="Y21" s="3">
        <f>1.25*Sheet1!Y21</f>
        <v>1.9350000000000001</v>
      </c>
      <c r="Z21" s="3">
        <f>0.5*Sheet1!Z21</f>
        <v>0.76249999999999996</v>
      </c>
      <c r="AA21" s="3">
        <f>0.5*Sheet1!AA21</f>
        <v>2.7499999999999951</v>
      </c>
      <c r="AB21" s="3">
        <f>0.5*Sheet1!AB21</f>
        <v>1.9171249999999951</v>
      </c>
      <c r="AD21" s="3">
        <f t="shared" si="0"/>
        <v>74.985562499999915</v>
      </c>
    </row>
    <row r="22" spans="1:30" s="3" customFormat="1" ht="32" x14ac:dyDescent="0.2">
      <c r="A22" s="2">
        <v>220</v>
      </c>
      <c r="B22" s="2" t="s">
        <v>38</v>
      </c>
      <c r="C22" s="2" t="s">
        <v>39</v>
      </c>
      <c r="D22" s="2" t="s">
        <v>26</v>
      </c>
      <c r="F22" s="3">
        <f>0.75*Sheet1!F22</f>
        <v>7.2693750000000001</v>
      </c>
      <c r="G22" s="3">
        <f>1.25*Sheet1!G22</f>
        <v>10.82375</v>
      </c>
      <c r="H22" s="3">
        <f>1.25*Sheet1!H22</f>
        <v>11.397499999999987</v>
      </c>
      <c r="J22" s="3">
        <f>1.25*Sheet1!J22</f>
        <v>11.397499999999987</v>
      </c>
      <c r="K22" s="3">
        <f>1.25*Sheet1!K22</f>
        <v>3.23</v>
      </c>
      <c r="L22" s="3">
        <f>1.25*Sheet1!L22</f>
        <v>0</v>
      </c>
      <c r="M22" s="3">
        <f>1.5*Sheet1!M22</f>
        <v>3.1320000000000001</v>
      </c>
      <c r="N22" s="3">
        <f>1.25*Sheet1!N22</f>
        <v>3.2254166666666624</v>
      </c>
      <c r="O22" s="3">
        <f>1.5*Sheet1!O22</f>
        <v>11.604750000000001</v>
      </c>
      <c r="Q22" s="3">
        <f>1*Sheet1!Q22</f>
        <v>2.5803333333333298</v>
      </c>
      <c r="R22" s="3">
        <f>1.25*Sheet1!R22</f>
        <v>9.6706250000000011</v>
      </c>
      <c r="S22" s="3">
        <f>1.5*Sheet1!S22</f>
        <v>10.699499999999986</v>
      </c>
      <c r="T22" s="3">
        <f>1.5*Sheet1!T22</f>
        <v>9.7884999999999902</v>
      </c>
      <c r="U22" s="3">
        <f>0.75*Sheet1!U22</f>
        <v>0</v>
      </c>
      <c r="V22" s="3">
        <f>0.75*Sheet1!V22</f>
        <v>2.7494999999999998</v>
      </c>
      <c r="W22" s="3">
        <f>0.75*Sheet1!W22</f>
        <v>0.90525000000000011</v>
      </c>
      <c r="Y22" s="3">
        <f>1.25*Sheet1!Y22</f>
        <v>5.8093750000000002</v>
      </c>
      <c r="Z22" s="3">
        <f>0.5*Sheet1!Z22</f>
        <v>2.9672499999999999</v>
      </c>
      <c r="AA22" s="3">
        <f>0.5*Sheet1!AA22</f>
        <v>1.4352499999999999</v>
      </c>
      <c r="AB22" s="3">
        <f>0.5*Sheet1!AB22</f>
        <v>2.8540000000000001</v>
      </c>
      <c r="AD22" s="3">
        <f t="shared" si="0"/>
        <v>111.53987499999992</v>
      </c>
    </row>
    <row r="23" spans="1:30" s="3" customFormat="1" ht="16" x14ac:dyDescent="0.2">
      <c r="A23" s="2">
        <v>71</v>
      </c>
      <c r="B23" s="2" t="s">
        <v>40</v>
      </c>
      <c r="C23" s="2" t="s">
        <v>41</v>
      </c>
      <c r="D23" s="2" t="s">
        <v>11</v>
      </c>
      <c r="F23" s="3">
        <f>0.75*Sheet1!F23</f>
        <v>7.0721249999999927</v>
      </c>
      <c r="G23" s="3">
        <f>1.25*Sheet1!G23</f>
        <v>10.54125</v>
      </c>
      <c r="H23" s="3">
        <f>1.25*Sheet1!H23</f>
        <v>3.5656249999999998</v>
      </c>
      <c r="J23" s="3">
        <f>1.25*Sheet1!J23</f>
        <v>3.5656249999999998</v>
      </c>
      <c r="K23" s="3">
        <f>1.25*Sheet1!K23</f>
        <v>3.6399999999999997</v>
      </c>
      <c r="L23" s="3">
        <f>1.25*Sheet1!L23</f>
        <v>2.6850000000000001</v>
      </c>
      <c r="M23" s="3">
        <f>1.5*Sheet1!M23</f>
        <v>3.2805</v>
      </c>
      <c r="N23" s="3">
        <f>1.25*Sheet1!N23</f>
        <v>3.4762500000000003</v>
      </c>
      <c r="O23" s="3">
        <f>1.5*Sheet1!O23</f>
        <v>11.772</v>
      </c>
      <c r="Q23" s="3">
        <f>1*Sheet1!Q23</f>
        <v>2.7810000000000001</v>
      </c>
      <c r="R23" s="3">
        <f>1.25*Sheet1!R23</f>
        <v>9.81</v>
      </c>
      <c r="S23" s="3">
        <f>1.5*Sheet1!S23</f>
        <v>8.9197500000000005</v>
      </c>
      <c r="T23" s="3">
        <f>1.5*Sheet1!T23</f>
        <v>8.8455000000000013</v>
      </c>
      <c r="U23" s="3">
        <f>0.75*Sheet1!U23</f>
        <v>0.76237500000000002</v>
      </c>
      <c r="V23" s="3">
        <f>0.75*Sheet1!V23</f>
        <v>5.8179375000000002</v>
      </c>
      <c r="W23" s="3">
        <f>0.75*Sheet1!W23</f>
        <v>0.66749999999999998</v>
      </c>
      <c r="Y23" s="3">
        <f>1.25*Sheet1!Y23</f>
        <v>3.9274999999999998</v>
      </c>
      <c r="Z23" s="3">
        <f>0.5*Sheet1!Z23</f>
        <v>3.59375</v>
      </c>
      <c r="AA23" s="3">
        <f>0.5*Sheet1!AA23</f>
        <v>1.3327500000000001</v>
      </c>
      <c r="AB23" s="3">
        <f>0.5*Sheet1!AB23</f>
        <v>2.4751249999999998</v>
      </c>
      <c r="AD23" s="3">
        <f t="shared" si="0"/>
        <v>98.531562500000007</v>
      </c>
    </row>
    <row r="24" spans="1:30" s="3" customFormat="1" ht="16" x14ac:dyDescent="0.2">
      <c r="A24" s="2">
        <v>88</v>
      </c>
      <c r="B24" s="2" t="s">
        <v>42</v>
      </c>
      <c r="C24" s="2" t="s">
        <v>41</v>
      </c>
      <c r="D24" s="2" t="s">
        <v>11</v>
      </c>
      <c r="F24" s="3">
        <f>0.75*Sheet1!F24</f>
        <v>6.7946249999999999</v>
      </c>
      <c r="G24" s="3">
        <f>1.25*Sheet1!G24</f>
        <v>10.41375</v>
      </c>
      <c r="H24" s="3">
        <f>1.25*Sheet1!H24</f>
        <v>3.5656249999999998</v>
      </c>
      <c r="J24" s="3">
        <f>1.25*Sheet1!J24</f>
        <v>3.5656249999999998</v>
      </c>
      <c r="K24" s="3">
        <f>1.25*Sheet1!K24</f>
        <v>1.25</v>
      </c>
      <c r="L24" s="3">
        <f>1.25*Sheet1!L24</f>
        <v>0</v>
      </c>
      <c r="M24" s="3">
        <f>1.5*Sheet1!M24</f>
        <v>3.2805</v>
      </c>
      <c r="N24" s="3">
        <f>1.25*Sheet1!N24</f>
        <v>3.4762500000000003</v>
      </c>
      <c r="O24" s="3">
        <f>1.5*Sheet1!O24</f>
        <v>11.456250000000001</v>
      </c>
      <c r="Q24" s="3">
        <f>1*Sheet1!Q24</f>
        <v>2.7810000000000001</v>
      </c>
      <c r="R24" s="3">
        <f>1.25*Sheet1!R24</f>
        <v>9.546875</v>
      </c>
      <c r="S24" s="3">
        <f>1.5*Sheet1!S24</f>
        <v>9.7874999999999837</v>
      </c>
      <c r="T24" s="3">
        <f>1.5*Sheet1!T24</f>
        <v>8.1494999999999855</v>
      </c>
      <c r="U24" s="3">
        <f>0.75*Sheet1!U24</f>
        <v>0.76237500000000002</v>
      </c>
      <c r="V24" s="3">
        <f>0.75*Sheet1!V24</f>
        <v>3.7079999999999926</v>
      </c>
      <c r="W24" s="3">
        <f>0.75*Sheet1!W24</f>
        <v>0.51225000000000009</v>
      </c>
      <c r="Y24" s="3">
        <f>1.25*Sheet1!Y24</f>
        <v>3.9812500000000002</v>
      </c>
      <c r="Z24" s="3">
        <f>0.5*Sheet1!Z24</f>
        <v>2.665</v>
      </c>
      <c r="AA24" s="3">
        <f>0.5*Sheet1!AA24</f>
        <v>2.8754999999999948</v>
      </c>
      <c r="AB24" s="3">
        <f>0.5*Sheet1!AB24</f>
        <v>2.393875</v>
      </c>
      <c r="AD24" s="3">
        <f t="shared" si="0"/>
        <v>90.965749999999971</v>
      </c>
    </row>
    <row r="25" spans="1:30" s="3" customFormat="1" ht="16" x14ac:dyDescent="0.2">
      <c r="A25" s="2">
        <v>194</v>
      </c>
      <c r="B25" s="2" t="s">
        <v>43</v>
      </c>
      <c r="C25" s="2" t="s">
        <v>41</v>
      </c>
      <c r="D25" s="2" t="s">
        <v>11</v>
      </c>
      <c r="F25" s="3">
        <f>0.75*Sheet1!F25</f>
        <v>6.9157500000000001</v>
      </c>
      <c r="G25" s="3">
        <f>1.25*Sheet1!G25</f>
        <v>10.149999999999999</v>
      </c>
      <c r="H25" s="3">
        <f>1.25*Sheet1!H25</f>
        <v>3.5656249999999998</v>
      </c>
      <c r="J25" s="3">
        <f>1.25*Sheet1!J25</f>
        <v>3.5656249999999998</v>
      </c>
      <c r="K25" s="3">
        <f>1.25*Sheet1!K25</f>
        <v>3.3381249999999874</v>
      </c>
      <c r="L25" s="3">
        <f>1.25*Sheet1!L25</f>
        <v>0</v>
      </c>
      <c r="M25" s="3">
        <f>1.5*Sheet1!M25</f>
        <v>3.2805</v>
      </c>
      <c r="N25" s="3">
        <f>1.25*Sheet1!N25</f>
        <v>3.4762500000000003</v>
      </c>
      <c r="O25" s="3">
        <f>1.5*Sheet1!O25</f>
        <v>11.172000000000001</v>
      </c>
      <c r="Q25" s="3">
        <f>1*Sheet1!Q25</f>
        <v>2.7810000000000001</v>
      </c>
      <c r="R25" s="3">
        <f>1.25*Sheet1!R25</f>
        <v>9.31</v>
      </c>
      <c r="S25" s="3">
        <f>1.5*Sheet1!S25</f>
        <v>7.943249999999999</v>
      </c>
      <c r="T25" s="3">
        <f>1.5*Sheet1!T25</f>
        <v>8.34</v>
      </c>
      <c r="U25" s="3">
        <f>0.75*Sheet1!U25</f>
        <v>0.76274999999999993</v>
      </c>
      <c r="V25" s="3">
        <f>0.75*Sheet1!V25</f>
        <v>3.1048125000000004</v>
      </c>
      <c r="W25" s="3">
        <f>0.75*Sheet1!W25</f>
        <v>0.72412500000000002</v>
      </c>
      <c r="Y25" s="3">
        <f>1.25*Sheet1!Y25</f>
        <v>2.7450000000000001</v>
      </c>
      <c r="Z25" s="3">
        <f>0.5*Sheet1!Z25</f>
        <v>3.85175</v>
      </c>
      <c r="AA25" s="3">
        <f>0.5*Sheet1!AA25</f>
        <v>2.4612499999999948</v>
      </c>
      <c r="AB25" s="3">
        <f>0.5*Sheet1!AB25</f>
        <v>2.5525000000000002</v>
      </c>
      <c r="AD25" s="3">
        <f t="shared" si="0"/>
        <v>90.04031249999997</v>
      </c>
    </row>
    <row r="26" spans="1:30" s="3" customFormat="1" ht="16" x14ac:dyDescent="0.2">
      <c r="A26" s="2">
        <v>203</v>
      </c>
      <c r="B26" s="2" t="s">
        <v>44</v>
      </c>
      <c r="C26" s="2" t="s">
        <v>41</v>
      </c>
      <c r="D26" s="2" t="s">
        <v>11</v>
      </c>
      <c r="F26" s="3">
        <f>0.75*Sheet1!F26</f>
        <v>6.24</v>
      </c>
      <c r="G26" s="3">
        <f>1.25*Sheet1!G26</f>
        <v>9.6887500000000006</v>
      </c>
      <c r="H26" s="3">
        <f>1.25*Sheet1!H26</f>
        <v>3.5568749999999878</v>
      </c>
      <c r="J26" s="3">
        <f>1.25*Sheet1!J26</f>
        <v>3.5568749999999878</v>
      </c>
      <c r="K26" s="3">
        <f>1.25*Sheet1!K26</f>
        <v>6.0287500000000005</v>
      </c>
      <c r="L26" s="3">
        <f>1.25*Sheet1!L26</f>
        <v>3.0175000000000001</v>
      </c>
      <c r="M26" s="3">
        <f>1.5*Sheet1!M26</f>
        <v>3.2805</v>
      </c>
      <c r="N26" s="3">
        <f>1.25*Sheet1!N26</f>
        <v>5.0458333333333254</v>
      </c>
      <c r="O26" s="3">
        <f>1.5*Sheet1!O26</f>
        <v>8.6572499999999994</v>
      </c>
      <c r="Q26" s="3">
        <f>1*Sheet1!Q26</f>
        <v>4.03666666666666</v>
      </c>
      <c r="R26" s="3">
        <f>1.25*Sheet1!R26</f>
        <v>7.2143749999999995</v>
      </c>
      <c r="S26" s="3">
        <f>1.5*Sheet1!S26</f>
        <v>7.943249999999999</v>
      </c>
      <c r="T26" s="3">
        <f>1.5*Sheet1!T26</f>
        <v>7.2744999999999891</v>
      </c>
      <c r="U26" s="3">
        <f>0.75*Sheet1!U26</f>
        <v>0.76312500000000005</v>
      </c>
      <c r="V26" s="3">
        <f>0.75*Sheet1!V26</f>
        <v>2.4920625000000003</v>
      </c>
      <c r="W26" s="3">
        <f>0.75*Sheet1!W26</f>
        <v>1.1197499999999925</v>
      </c>
      <c r="Y26" s="3">
        <f>1.25*Sheet1!Y26</f>
        <v>2.9225000000000003</v>
      </c>
      <c r="Z26" s="3">
        <f>0.5*Sheet1!Z26</f>
        <v>4.3337500000000002</v>
      </c>
      <c r="AA26" s="3">
        <f>0.5*Sheet1!AA26</f>
        <v>3.0759999999999952</v>
      </c>
      <c r="AB26" s="3">
        <f>0.5*Sheet1!AB26</f>
        <v>2.2766250000000001</v>
      </c>
      <c r="AD26" s="3">
        <f t="shared" si="0"/>
        <v>92.524937499999936</v>
      </c>
    </row>
    <row r="27" spans="1:30" s="3" customFormat="1" ht="16" x14ac:dyDescent="0.2">
      <c r="A27" s="2">
        <v>219</v>
      </c>
      <c r="B27" s="2" t="s">
        <v>45</v>
      </c>
      <c r="C27" s="2" t="s">
        <v>41</v>
      </c>
      <c r="D27" s="2" t="s">
        <v>11</v>
      </c>
      <c r="F27" s="3">
        <f>0.75*Sheet1!F27</f>
        <v>6.2370000000000001</v>
      </c>
      <c r="G27" s="3">
        <f>1.25*Sheet1!G27</f>
        <v>9.7787500000000005</v>
      </c>
      <c r="H27" s="3">
        <f>1.25*Sheet1!H27</f>
        <v>3.5656249999999998</v>
      </c>
      <c r="J27" s="3">
        <f>1.25*Sheet1!J27</f>
        <v>3.5656249999999998</v>
      </c>
      <c r="K27" s="3">
        <f>1.25*Sheet1!K27</f>
        <v>8.2781249999999993</v>
      </c>
      <c r="L27" s="3">
        <f>1.25*Sheet1!L27</f>
        <v>5.3162500000000001</v>
      </c>
      <c r="M27" s="3">
        <f>1.5*Sheet1!M27</f>
        <v>3.2805</v>
      </c>
      <c r="N27" s="3">
        <f>1.25*Sheet1!N27</f>
        <v>3.4762500000000003</v>
      </c>
      <c r="O27" s="3">
        <f>1.5*Sheet1!O27</f>
        <v>10.343250000000001</v>
      </c>
      <c r="Q27" s="3">
        <f>1*Sheet1!Q27</f>
        <v>2.7810000000000001</v>
      </c>
      <c r="R27" s="3">
        <f>1.25*Sheet1!R27</f>
        <v>8.6193749999999998</v>
      </c>
      <c r="S27" s="3">
        <f>1.5*Sheet1!S27</f>
        <v>7.943249999999999</v>
      </c>
      <c r="T27" s="3">
        <f>1.5*Sheet1!T27</f>
        <v>8.0579999999999856</v>
      </c>
      <c r="U27" s="3">
        <f>0.75*Sheet1!U27</f>
        <v>0.82799999999999252</v>
      </c>
      <c r="V27" s="3">
        <f>0.75*Sheet1!V27</f>
        <v>1.9901250000000001</v>
      </c>
      <c r="W27" s="3">
        <f>0.75*Sheet1!W27</f>
        <v>1.699125</v>
      </c>
      <c r="Y27" s="3">
        <f>1.25*Sheet1!Y27</f>
        <v>4.2368749999999995</v>
      </c>
      <c r="Z27" s="3">
        <f>0.5*Sheet1!Z27</f>
        <v>4.3947499999999948</v>
      </c>
      <c r="AA27" s="3">
        <f>0.5*Sheet1!AA27</f>
        <v>3.5387499999999998</v>
      </c>
      <c r="AB27" s="3">
        <f>0.5*Sheet1!AB27</f>
        <v>2.206</v>
      </c>
      <c r="AD27" s="3">
        <f t="shared" si="0"/>
        <v>100.13662499999997</v>
      </c>
    </row>
    <row r="28" spans="1:30" s="3" customFormat="1" ht="16" x14ac:dyDescent="0.2">
      <c r="A28" s="2">
        <v>228</v>
      </c>
      <c r="B28" s="2" t="s">
        <v>46</v>
      </c>
      <c r="C28" s="2" t="s">
        <v>47</v>
      </c>
      <c r="D28" s="2" t="s">
        <v>26</v>
      </c>
      <c r="F28" s="3">
        <f>0.75*Sheet1!F28</f>
        <v>6.9794999999999998</v>
      </c>
      <c r="G28" s="3">
        <f>1.25*Sheet1!G28</f>
        <v>10.6875</v>
      </c>
      <c r="H28" s="3">
        <f>1.25*Sheet1!H28</f>
        <v>10.900625</v>
      </c>
      <c r="J28" s="3">
        <f>1.25*Sheet1!J28</f>
        <v>10.900625</v>
      </c>
      <c r="K28" s="3">
        <f>1.25*Sheet1!K28</f>
        <v>5.8637499999999996</v>
      </c>
      <c r="L28" s="3">
        <f>1.25*Sheet1!L28</f>
        <v>3.9437499999999996</v>
      </c>
      <c r="M28" s="3">
        <f>1.5*Sheet1!M28</f>
        <v>4.8749999999999849</v>
      </c>
      <c r="N28" s="3">
        <f>1.25*Sheet1!N28</f>
        <v>6.6191666666666631</v>
      </c>
      <c r="O28" s="3">
        <f>1.5*Sheet1!O28</f>
        <v>10.110749999999999</v>
      </c>
      <c r="Q28" s="3">
        <f>1*Sheet1!Q28</f>
        <v>5.2953333333333301</v>
      </c>
      <c r="R28" s="3">
        <f>1.25*Sheet1!R28</f>
        <v>8.4256250000000001</v>
      </c>
      <c r="S28" s="3">
        <f>1.5*Sheet1!S28</f>
        <v>11.325749999999985</v>
      </c>
      <c r="T28" s="3">
        <f>1.5*Sheet1!T28</f>
        <v>8.3799999999999901</v>
      </c>
      <c r="U28" s="3">
        <f>0.75*Sheet1!U28</f>
        <v>1.510875</v>
      </c>
      <c r="V28" s="3">
        <f>0.75*Sheet1!V28</f>
        <v>3.7494375</v>
      </c>
      <c r="W28" s="3">
        <f>0.75*Sheet1!W28</f>
        <v>1.9998750000000001</v>
      </c>
      <c r="Y28" s="3">
        <f>1.25*Sheet1!Y28</f>
        <v>7.8406250000000002</v>
      </c>
      <c r="Z28" s="3">
        <f>0.5*Sheet1!Z28</f>
        <v>2.6592499999999948</v>
      </c>
      <c r="AA28" s="3">
        <f>0.5*Sheet1!AA28</f>
        <v>2.0282499999999999</v>
      </c>
      <c r="AB28" s="3">
        <f>0.5*Sheet1!AB28</f>
        <v>2.8109999999999999</v>
      </c>
      <c r="AD28" s="3">
        <f t="shared" si="0"/>
        <v>126.90668749999995</v>
      </c>
    </row>
    <row r="29" spans="1:30" s="3" customFormat="1" ht="16" x14ac:dyDescent="0.2">
      <c r="A29" s="2">
        <v>139</v>
      </c>
      <c r="B29" s="2" t="s">
        <v>48</v>
      </c>
      <c r="C29" s="2" t="s">
        <v>49</v>
      </c>
      <c r="D29" s="2" t="s">
        <v>6</v>
      </c>
      <c r="F29" s="3">
        <f>0.75*Sheet1!F29</f>
        <v>1.1456249999999926</v>
      </c>
      <c r="G29" s="3">
        <f>1.25*Sheet1!G29</f>
        <v>5.6950000000000003</v>
      </c>
      <c r="H29" s="3">
        <f>1.25*Sheet1!H29</f>
        <v>5.9593749999999996</v>
      </c>
      <c r="J29" s="3">
        <f>1.25*Sheet1!J29</f>
        <v>5.9593749999999996</v>
      </c>
      <c r="K29" s="3">
        <f>1.25*Sheet1!K29</f>
        <v>12.5</v>
      </c>
      <c r="L29" s="3">
        <f>1.25*Sheet1!L29</f>
        <v>12.5</v>
      </c>
      <c r="M29" s="3">
        <f>1.5*Sheet1!M29</f>
        <v>9.7717500000000008</v>
      </c>
      <c r="N29" s="3">
        <f>1.25*Sheet1!N29</f>
        <v>10.718333333333325</v>
      </c>
      <c r="O29" s="3">
        <f>1.5*Sheet1!O29</f>
        <v>10.439999999999985</v>
      </c>
      <c r="Q29" s="3">
        <f>1*Sheet1!Q29</f>
        <v>8.5746666666666602</v>
      </c>
      <c r="R29" s="3">
        <f>1.25*Sheet1!R29</f>
        <v>8.6999999999999886</v>
      </c>
      <c r="S29" s="3">
        <f>1.5*Sheet1!S29</f>
        <v>8.557500000000001</v>
      </c>
      <c r="T29" s="3">
        <f>1.5*Sheet1!T29</f>
        <v>9.040999999999995</v>
      </c>
      <c r="U29" s="3">
        <f>0.75*Sheet1!U29</f>
        <v>6.468375</v>
      </c>
      <c r="V29" s="3">
        <f>0.75*Sheet1!V29</f>
        <v>3.5486249999999995</v>
      </c>
      <c r="W29" s="3">
        <f>0.75*Sheet1!W29</f>
        <v>2.9688749999999997</v>
      </c>
      <c r="Y29" s="3">
        <f>1.25*Sheet1!Y29</f>
        <v>6.8706250000000004</v>
      </c>
      <c r="Z29" s="3">
        <f>0.5*Sheet1!Z29</f>
        <v>4.5979999999999999</v>
      </c>
      <c r="AA29" s="3">
        <f>0.5*Sheet1!AA29</f>
        <v>3.3734999999999999</v>
      </c>
      <c r="AB29" s="3">
        <f>0.5*Sheet1!AB29</f>
        <v>1.8385</v>
      </c>
      <c r="AD29" s="3">
        <f t="shared" si="0"/>
        <v>139.22912499999995</v>
      </c>
    </row>
    <row r="30" spans="1:30" s="3" customFormat="1" ht="16" x14ac:dyDescent="0.2">
      <c r="A30" s="2">
        <v>182</v>
      </c>
      <c r="B30" s="2" t="s">
        <v>50</v>
      </c>
      <c r="C30" s="2" t="s">
        <v>49</v>
      </c>
      <c r="D30" s="2" t="s">
        <v>6</v>
      </c>
      <c r="F30" s="3">
        <f>0.75*Sheet1!F30</f>
        <v>0.375</v>
      </c>
      <c r="G30" s="3">
        <f>1.25*Sheet1!G30</f>
        <v>0</v>
      </c>
      <c r="H30" s="3">
        <f>1.25*Sheet1!H30</f>
        <v>5.61</v>
      </c>
      <c r="J30" s="3">
        <f>1.25*Sheet1!J30</f>
        <v>5.61</v>
      </c>
      <c r="K30" s="3">
        <f>1.25*Sheet1!K30</f>
        <v>10.368124999999999</v>
      </c>
      <c r="L30" s="3">
        <f>1.25*Sheet1!L30</f>
        <v>12.028749999999999</v>
      </c>
      <c r="M30" s="3">
        <f>1.5*Sheet1!M30</f>
        <v>9.7717500000000008</v>
      </c>
      <c r="N30" s="3">
        <f>1.25*Sheet1!N30</f>
        <v>10.838749999999999</v>
      </c>
      <c r="O30" s="3">
        <f>1.5*Sheet1!O30</f>
        <v>12.681000000000001</v>
      </c>
      <c r="Q30" s="3">
        <f>1*Sheet1!Q30</f>
        <v>8.6709999999999994</v>
      </c>
      <c r="R30" s="3">
        <f>1.25*Sheet1!R30</f>
        <v>10.567500000000001</v>
      </c>
      <c r="S30" s="3">
        <f>1.5*Sheet1!S30</f>
        <v>11.455499999999999</v>
      </c>
      <c r="T30" s="3">
        <f>1.5*Sheet1!T30</f>
        <v>9.7724999999999991</v>
      </c>
      <c r="U30" s="3">
        <f>0.75*Sheet1!U30</f>
        <v>2.718375</v>
      </c>
      <c r="V30" s="3">
        <f>0.75*Sheet1!V30</f>
        <v>5.0448749999999993</v>
      </c>
      <c r="W30" s="3">
        <f>0.75*Sheet1!W30</f>
        <v>2.3628749999999998</v>
      </c>
      <c r="Y30" s="3">
        <f>1.25*Sheet1!Y30</f>
        <v>8.9275000000000002</v>
      </c>
      <c r="Z30" s="3">
        <f>0.5*Sheet1!Z30</f>
        <v>0</v>
      </c>
      <c r="AA30" s="3">
        <f>0.5*Sheet1!AA30</f>
        <v>0.875</v>
      </c>
      <c r="AB30" s="3">
        <f>0.5*Sheet1!AB30</f>
        <v>1.1013749999999951</v>
      </c>
      <c r="AD30" s="3">
        <f t="shared" si="0"/>
        <v>128.77987499999998</v>
      </c>
    </row>
    <row r="31" spans="1:30" s="3" customFormat="1" ht="16" x14ac:dyDescent="0.2">
      <c r="A31" s="2">
        <v>211</v>
      </c>
      <c r="B31" s="2" t="s">
        <v>51</v>
      </c>
      <c r="C31" s="2" t="s">
        <v>49</v>
      </c>
      <c r="D31" s="2" t="s">
        <v>6</v>
      </c>
      <c r="F31" s="3">
        <f>0.75*Sheet1!F31</f>
        <v>2.2001249999999999</v>
      </c>
      <c r="G31" s="3">
        <f>1.25*Sheet1!G31</f>
        <v>6.4449999999999994</v>
      </c>
      <c r="H31" s="3">
        <f>1.25*Sheet1!H31</f>
        <v>5.61</v>
      </c>
      <c r="J31" s="3">
        <f>1.25*Sheet1!J31</f>
        <v>5.61</v>
      </c>
      <c r="K31" s="3">
        <f>1.25*Sheet1!K31</f>
        <v>10.438124999999999</v>
      </c>
      <c r="L31" s="3">
        <f>1.25*Sheet1!L31</f>
        <v>10.74375</v>
      </c>
      <c r="M31" s="3">
        <f>1.5*Sheet1!M31</f>
        <v>9.7717500000000008</v>
      </c>
      <c r="N31" s="3">
        <f>1.25*Sheet1!N31</f>
        <v>10.838749999999999</v>
      </c>
      <c r="O31" s="3">
        <f>1.5*Sheet1!O31</f>
        <v>12.80925</v>
      </c>
      <c r="Q31" s="3">
        <f>1*Sheet1!Q31</f>
        <v>8.6709999999999994</v>
      </c>
      <c r="R31" s="3">
        <f>1.25*Sheet1!R31</f>
        <v>10.674375000000001</v>
      </c>
      <c r="S31" s="3">
        <f>1.5*Sheet1!S31</f>
        <v>10.3995</v>
      </c>
      <c r="T31" s="3">
        <f>1.5*Sheet1!T31</f>
        <v>9.7794999999999899</v>
      </c>
      <c r="U31" s="3">
        <f>0.75*Sheet1!U31</f>
        <v>4.0931249999999997</v>
      </c>
      <c r="V31" s="3">
        <f>0.75*Sheet1!V31</f>
        <v>5.4504374999999996</v>
      </c>
      <c r="W31" s="3">
        <f>0.75*Sheet1!W31</f>
        <v>1.9664999999999999</v>
      </c>
      <c r="Y31" s="3">
        <f>1.25*Sheet1!Y31</f>
        <v>7.4987499999999994</v>
      </c>
      <c r="Z31" s="3">
        <f>0.5*Sheet1!Z31</f>
        <v>4.1050000000000004</v>
      </c>
      <c r="AA31" s="3">
        <f>0.5*Sheet1!AA31</f>
        <v>3.198</v>
      </c>
      <c r="AB31" s="3">
        <f>0.5*Sheet1!AB31</f>
        <v>2.2048749999999999</v>
      </c>
      <c r="AD31" s="3">
        <f t="shared" si="0"/>
        <v>142.50781249999994</v>
      </c>
    </row>
    <row r="32" spans="1:30" s="3" customFormat="1" ht="32" x14ac:dyDescent="0.2">
      <c r="A32" s="2">
        <v>212</v>
      </c>
      <c r="B32" s="2" t="s">
        <v>52</v>
      </c>
      <c r="C32" s="2" t="s">
        <v>49</v>
      </c>
      <c r="D32" s="2" t="s">
        <v>6</v>
      </c>
      <c r="F32" s="3">
        <f>0.75*Sheet1!F32</f>
        <v>0.75</v>
      </c>
      <c r="G32" s="3">
        <f>1.25*Sheet1!G32</f>
        <v>3.2725</v>
      </c>
      <c r="H32" s="3">
        <f>1.25*Sheet1!H32</f>
        <v>5.61</v>
      </c>
      <c r="J32" s="3">
        <f>1.25*Sheet1!J32</f>
        <v>5.61</v>
      </c>
      <c r="K32" s="3">
        <f>1.25*Sheet1!K32</f>
        <v>12.5</v>
      </c>
      <c r="L32" s="3">
        <f>1.25*Sheet1!L32</f>
        <v>12.5</v>
      </c>
      <c r="M32" s="3">
        <f>1.5*Sheet1!M32</f>
        <v>9.7717500000000008</v>
      </c>
      <c r="N32" s="3">
        <f>1.25*Sheet1!N32</f>
        <v>10.838749999999999</v>
      </c>
      <c r="O32" s="3">
        <f>1.5*Sheet1!O32</f>
        <v>12.018749999999999</v>
      </c>
      <c r="Q32" s="3">
        <f>1*Sheet1!Q32</f>
        <v>8.6709999999999994</v>
      </c>
      <c r="R32" s="3">
        <f>1.25*Sheet1!R32</f>
        <v>10.015625</v>
      </c>
      <c r="S32" s="3">
        <f>1.5*Sheet1!S32</f>
        <v>8.5732499999999998</v>
      </c>
      <c r="T32" s="3">
        <f>1.5*Sheet1!T32</f>
        <v>9.6734999999999847</v>
      </c>
      <c r="U32" s="3">
        <f>0.75*Sheet1!U32</f>
        <v>6.468375</v>
      </c>
      <c r="V32" s="3">
        <f>0.75*Sheet1!V32</f>
        <v>4.8611249999999995</v>
      </c>
      <c r="W32" s="3">
        <f>0.75*Sheet1!W32</f>
        <v>2.740875</v>
      </c>
      <c r="Y32" s="3">
        <f>1.25*Sheet1!Y32</f>
        <v>7.006875</v>
      </c>
      <c r="Z32" s="3">
        <f>0.5*Sheet1!Z32</f>
        <v>4.7035</v>
      </c>
      <c r="AA32" s="3">
        <f>0.5*Sheet1!AA32</f>
        <v>3.5070000000000001</v>
      </c>
      <c r="AB32" s="3">
        <f>0.5*Sheet1!AB32</f>
        <v>2.3436249999999998</v>
      </c>
      <c r="AD32" s="3">
        <f t="shared" si="0"/>
        <v>141.4365</v>
      </c>
    </row>
    <row r="33" spans="1:30" s="3" customFormat="1" ht="32" x14ac:dyDescent="0.2">
      <c r="A33" s="2">
        <v>215</v>
      </c>
      <c r="B33" s="2" t="s">
        <v>53</v>
      </c>
      <c r="C33" s="2" t="s">
        <v>49</v>
      </c>
      <c r="D33" s="2" t="s">
        <v>6</v>
      </c>
      <c r="F33" s="3">
        <f>0.75*Sheet1!F33</f>
        <v>1.2933749999999999</v>
      </c>
      <c r="G33" s="3">
        <f>1.25*Sheet1!G33</f>
        <v>0</v>
      </c>
      <c r="H33" s="3">
        <f>1.25*Sheet1!H33</f>
        <v>5.61</v>
      </c>
      <c r="J33" s="3">
        <f>1.25*Sheet1!J33</f>
        <v>5.61</v>
      </c>
      <c r="K33" s="3">
        <f>1.25*Sheet1!K33</f>
        <v>4.7850000000000001</v>
      </c>
      <c r="L33" s="3">
        <f>1.25*Sheet1!L33</f>
        <v>3.8462499999999999</v>
      </c>
      <c r="M33" s="3">
        <f>1.5*Sheet1!M33</f>
        <v>9.7717500000000008</v>
      </c>
      <c r="N33" s="3">
        <f>1.25*Sheet1!N33</f>
        <v>10.838749999999999</v>
      </c>
      <c r="O33" s="3">
        <f>1.5*Sheet1!O33</f>
        <v>14.499000000000001</v>
      </c>
      <c r="Q33" s="3">
        <f>1*Sheet1!Q33</f>
        <v>8.6709999999999994</v>
      </c>
      <c r="R33" s="3">
        <f>1.25*Sheet1!R33</f>
        <v>12.0825</v>
      </c>
      <c r="S33" s="3">
        <f>1.5*Sheet1!S33</f>
        <v>12.087</v>
      </c>
      <c r="T33" s="3">
        <f>1.5*Sheet1!T33</f>
        <v>8.8069999999999951</v>
      </c>
      <c r="U33" s="3">
        <f>0.75*Sheet1!U33</f>
        <v>2.718375</v>
      </c>
      <c r="V33" s="3">
        <f>0.75*Sheet1!V33</f>
        <v>5.5440000000000005</v>
      </c>
      <c r="W33" s="3">
        <f>0.75*Sheet1!W33</f>
        <v>0.85049999999999992</v>
      </c>
      <c r="Y33" s="3">
        <f>1.25*Sheet1!Y33</f>
        <v>9.9193750000000005</v>
      </c>
      <c r="Z33" s="3">
        <f>0.5*Sheet1!Z33</f>
        <v>1.38825</v>
      </c>
      <c r="AA33" s="3">
        <f>0.5*Sheet1!AA33</f>
        <v>0.75375000000000003</v>
      </c>
      <c r="AB33" s="3">
        <f>0.5*Sheet1!AB33</f>
        <v>0.696124999999995</v>
      </c>
      <c r="AD33" s="3">
        <f t="shared" si="0"/>
        <v>119.77199999999998</v>
      </c>
    </row>
    <row r="34" spans="1:30" s="3" customFormat="1" ht="16" x14ac:dyDescent="0.2">
      <c r="A34" s="2">
        <v>187</v>
      </c>
      <c r="B34" s="2" t="s">
        <v>54</v>
      </c>
      <c r="C34" s="2" t="s">
        <v>55</v>
      </c>
      <c r="D34" s="2" t="s">
        <v>16</v>
      </c>
      <c r="F34" s="3">
        <f>0.75*Sheet1!F34</f>
        <v>6.4139999999999997</v>
      </c>
      <c r="G34" s="3">
        <f>1.25*Sheet1!G34</f>
        <v>10.001249999999999</v>
      </c>
      <c r="H34" s="3">
        <f>1.25*Sheet1!H34</f>
        <v>9.98</v>
      </c>
      <c r="J34" s="3">
        <f>1.25*Sheet1!J34</f>
        <v>9.98</v>
      </c>
      <c r="K34" s="3">
        <f>1.25*Sheet1!K34</f>
        <v>1.8718750000000002</v>
      </c>
      <c r="L34" s="3">
        <f>1.25*Sheet1!L34</f>
        <v>0</v>
      </c>
      <c r="M34" s="3">
        <f>1.5*Sheet1!M34</f>
        <v>8.0699999999999861</v>
      </c>
      <c r="N34" s="3">
        <f>1.25*Sheet1!N34</f>
        <v>1.2499999999999987</v>
      </c>
      <c r="O34" s="3">
        <f>1.5*Sheet1!O34</f>
        <v>9.04575</v>
      </c>
      <c r="Q34" s="3">
        <f>1*Sheet1!Q34</f>
        <v>0.999999999999999</v>
      </c>
      <c r="R34" s="3">
        <f>1.25*Sheet1!R34</f>
        <v>7.538125</v>
      </c>
      <c r="S34" s="3">
        <f>1.5*Sheet1!S34</f>
        <v>10.026</v>
      </c>
      <c r="T34" s="3">
        <f>1.5*Sheet1!T34</f>
        <v>4.476</v>
      </c>
      <c r="U34" s="3">
        <f>0.75*Sheet1!U34</f>
        <v>0</v>
      </c>
      <c r="V34" s="3">
        <f>0.75*Sheet1!V34</f>
        <v>1.8361874999999999</v>
      </c>
      <c r="W34" s="3">
        <f>0.75*Sheet1!W34</f>
        <v>0.92962500000000003</v>
      </c>
      <c r="Y34" s="3">
        <f>1.25*Sheet1!Y34</f>
        <v>4.243749999999987</v>
      </c>
      <c r="Z34" s="3">
        <f>0.5*Sheet1!Z34</f>
        <v>2.7035</v>
      </c>
      <c r="AA34" s="3">
        <f>0.5*Sheet1!AA34</f>
        <v>1.7164999999999999</v>
      </c>
      <c r="AB34" s="3">
        <f>0.5*Sheet1!AB34</f>
        <v>2.34</v>
      </c>
      <c r="AD34" s="3">
        <f t="shared" si="0"/>
        <v>93.42256249999997</v>
      </c>
    </row>
    <row r="35" spans="1:30" s="3" customFormat="1" ht="16" x14ac:dyDescent="0.2">
      <c r="A35" s="2">
        <v>197</v>
      </c>
      <c r="B35" s="2" t="s">
        <v>56</v>
      </c>
      <c r="C35" s="2" t="s">
        <v>57</v>
      </c>
      <c r="D35" s="2" t="s">
        <v>26</v>
      </c>
      <c r="F35" s="3">
        <f>0.75*Sheet1!F35</f>
        <v>6.3881250000000005</v>
      </c>
      <c r="G35" s="3">
        <f>1.25*Sheet1!G35</f>
        <v>7.5462499999999997</v>
      </c>
      <c r="H35" s="3">
        <f>1.25*Sheet1!H35</f>
        <v>9.0931250000000006</v>
      </c>
      <c r="J35" s="3">
        <f>1.25*Sheet1!J35</f>
        <v>9.0931250000000006</v>
      </c>
      <c r="K35" s="3">
        <f>1.25*Sheet1!K35</f>
        <v>4.6681249999999999</v>
      </c>
      <c r="L35" s="3">
        <f>1.25*Sheet1!L35</f>
        <v>2.7962500000000001</v>
      </c>
      <c r="M35" s="3">
        <f>1.5*Sheet1!M35</f>
        <v>8.7607499999999998</v>
      </c>
      <c r="N35" s="3">
        <f>1.25*Sheet1!N35</f>
        <v>11.2075</v>
      </c>
      <c r="O35" s="3">
        <f>1.5*Sheet1!O35</f>
        <v>12.933</v>
      </c>
      <c r="Q35" s="3">
        <f>1*Sheet1!Q35</f>
        <v>8.9659999999999993</v>
      </c>
      <c r="R35" s="3">
        <f>1.25*Sheet1!R35</f>
        <v>10.7775</v>
      </c>
      <c r="S35" s="3">
        <f>1.5*Sheet1!S35</f>
        <v>13.739249999999998</v>
      </c>
      <c r="T35" s="3">
        <f>1.5*Sheet1!T35</f>
        <v>12.196999999999996</v>
      </c>
      <c r="U35" s="3">
        <f>0.75*Sheet1!U35</f>
        <v>4.0649999999999995</v>
      </c>
      <c r="V35" s="3">
        <f>0.75*Sheet1!V35</f>
        <v>5.4866250000000001</v>
      </c>
      <c r="W35" s="3">
        <f>0.75*Sheet1!W35</f>
        <v>1.036125</v>
      </c>
      <c r="Y35" s="3">
        <f>1.25*Sheet1!Y35</f>
        <v>4.1231249999999999</v>
      </c>
      <c r="Z35" s="3">
        <f>0.5*Sheet1!Z35</f>
        <v>2.8182499999999999</v>
      </c>
      <c r="AA35" s="3">
        <f>0.5*Sheet1!AA35</f>
        <v>2.3594999999999948</v>
      </c>
      <c r="AB35" s="3">
        <f>0.5*Sheet1!AB35</f>
        <v>2.6399999999999948</v>
      </c>
      <c r="AD35" s="3">
        <f t="shared" si="0"/>
        <v>140.69462499999997</v>
      </c>
    </row>
    <row r="36" spans="1:30" s="3" customFormat="1" ht="16" x14ac:dyDescent="0.2">
      <c r="A36" s="2">
        <v>49</v>
      </c>
      <c r="B36" s="2" t="s">
        <v>58</v>
      </c>
      <c r="C36" s="2" t="s">
        <v>57</v>
      </c>
      <c r="D36" s="2" t="s">
        <v>6</v>
      </c>
      <c r="F36" s="3">
        <f>0.75*Sheet1!F36</f>
        <v>4.8712499999999999</v>
      </c>
      <c r="G36" s="3">
        <f>1.25*Sheet1!G36</f>
        <v>6.7724999999999884</v>
      </c>
      <c r="H36" s="3">
        <f>1.25*Sheet1!H36</f>
        <v>9.0931250000000006</v>
      </c>
      <c r="J36" s="3">
        <f>1.25*Sheet1!J36</f>
        <v>9.0931250000000006</v>
      </c>
      <c r="K36" s="3">
        <f>1.25*Sheet1!K36</f>
        <v>7.4368749999999997</v>
      </c>
      <c r="L36" s="3">
        <f>1.25*Sheet1!L36</f>
        <v>2.5449999999999875</v>
      </c>
      <c r="M36" s="3">
        <f>1.5*Sheet1!M36</f>
        <v>8.7607499999999998</v>
      </c>
      <c r="N36" s="3">
        <f>1.25*Sheet1!N36</f>
        <v>11.2075</v>
      </c>
      <c r="O36" s="3">
        <f>1.5*Sheet1!O36</f>
        <v>12.165749999999999</v>
      </c>
      <c r="Q36" s="3">
        <f>1*Sheet1!Q36</f>
        <v>8.9659999999999993</v>
      </c>
      <c r="R36" s="3">
        <f>1.25*Sheet1!R36</f>
        <v>10.138125</v>
      </c>
      <c r="S36" s="3">
        <f>1.5*Sheet1!S36</f>
        <v>11.884499999999999</v>
      </c>
      <c r="T36" s="3">
        <f>1.5*Sheet1!T36</f>
        <v>12.039499999999995</v>
      </c>
      <c r="U36" s="3">
        <f>0.75*Sheet1!U36</f>
        <v>4.1662499999999998</v>
      </c>
      <c r="V36" s="3">
        <f>0.75*Sheet1!V36</f>
        <v>6.143624999999993</v>
      </c>
      <c r="W36" s="3">
        <f>0.75*Sheet1!W36</f>
        <v>1.8855</v>
      </c>
      <c r="Y36" s="3">
        <f>1.25*Sheet1!Y36</f>
        <v>7.0881249999999998</v>
      </c>
      <c r="Z36" s="3">
        <f>0.5*Sheet1!Z36</f>
        <v>2.1339999999999999</v>
      </c>
      <c r="AA36" s="3">
        <f>0.5*Sheet1!AA36</f>
        <v>3.7522499999999952</v>
      </c>
      <c r="AB36" s="3">
        <f>0.5*Sheet1!AB36</f>
        <v>2.5787499999999999</v>
      </c>
      <c r="AD36" s="3">
        <f t="shared" si="0"/>
        <v>142.72249999999997</v>
      </c>
    </row>
    <row r="37" spans="1:30" s="3" customFormat="1" ht="16" x14ac:dyDescent="0.2">
      <c r="A37" s="2">
        <v>84</v>
      </c>
      <c r="B37" s="2" t="s">
        <v>59</v>
      </c>
      <c r="C37" s="2" t="s">
        <v>57</v>
      </c>
      <c r="D37" s="2" t="s">
        <v>6</v>
      </c>
      <c r="F37" s="3">
        <f>0.75*Sheet1!F37</f>
        <v>5.0471249999999994</v>
      </c>
      <c r="G37" s="3">
        <f>1.25*Sheet1!G37</f>
        <v>6.9024999999999999</v>
      </c>
      <c r="H37" s="3">
        <f>1.25*Sheet1!H37</f>
        <v>9.0931250000000006</v>
      </c>
      <c r="J37" s="3">
        <f>1.25*Sheet1!J37</f>
        <v>9.0931250000000006</v>
      </c>
      <c r="K37" s="3">
        <f>1.25*Sheet1!K37</f>
        <v>5.7799999999999994</v>
      </c>
      <c r="L37" s="3">
        <f>1.25*Sheet1!L37</f>
        <v>2.9899999999999998</v>
      </c>
      <c r="M37" s="3">
        <f>1.5*Sheet1!M37</f>
        <v>8.7607499999999998</v>
      </c>
      <c r="N37" s="3">
        <f>1.25*Sheet1!N37</f>
        <v>11.2075</v>
      </c>
      <c r="O37" s="3">
        <f>1.5*Sheet1!O37</f>
        <v>11.888249999999985</v>
      </c>
      <c r="Q37" s="3">
        <f>1*Sheet1!Q37</f>
        <v>8.9659999999999993</v>
      </c>
      <c r="R37" s="3">
        <f>1.25*Sheet1!R37</f>
        <v>9.906874999999987</v>
      </c>
      <c r="S37" s="3">
        <f>1.5*Sheet1!S37</f>
        <v>10.67625</v>
      </c>
      <c r="T37" s="3">
        <f>1.5*Sheet1!T37</f>
        <v>12.403500000000001</v>
      </c>
      <c r="U37" s="3">
        <f>0.75*Sheet1!U37</f>
        <v>4.4610000000000003</v>
      </c>
      <c r="V37" s="3">
        <f>0.75*Sheet1!V37</f>
        <v>6.1318125000000006</v>
      </c>
      <c r="W37" s="3">
        <f>0.75*Sheet1!W37</f>
        <v>1.4264999999999923</v>
      </c>
      <c r="Y37" s="3">
        <f>1.25*Sheet1!Y37</f>
        <v>5.7624999999999869</v>
      </c>
      <c r="Z37" s="3">
        <f>0.5*Sheet1!Z37</f>
        <v>1.986999999999995</v>
      </c>
      <c r="AA37" s="3">
        <f>0.5*Sheet1!AA37</f>
        <v>1.6924999999999999</v>
      </c>
      <c r="AB37" s="3">
        <f>0.5*Sheet1!AB37</f>
        <v>2.5486249999999999</v>
      </c>
      <c r="AD37" s="3">
        <f t="shared" si="0"/>
        <v>136.72493749999992</v>
      </c>
    </row>
    <row r="38" spans="1:30" s="3" customFormat="1" ht="16" x14ac:dyDescent="0.2">
      <c r="A38" s="2">
        <v>101</v>
      </c>
      <c r="B38" s="2" t="s">
        <v>60</v>
      </c>
      <c r="C38" s="2" t="s">
        <v>57</v>
      </c>
      <c r="D38" s="2" t="s">
        <v>6</v>
      </c>
      <c r="F38" s="3">
        <f>0.75*Sheet1!F38</f>
        <v>5.1712499999999997</v>
      </c>
      <c r="G38" s="3">
        <f>1.25*Sheet1!G38</f>
        <v>6.1787499999999991</v>
      </c>
      <c r="H38" s="3">
        <f>1.25*Sheet1!H38</f>
        <v>9.0931250000000006</v>
      </c>
      <c r="J38" s="3">
        <f>1.25*Sheet1!J38</f>
        <v>9.0931250000000006</v>
      </c>
      <c r="K38" s="3">
        <f>1.25*Sheet1!K38</f>
        <v>4.53</v>
      </c>
      <c r="L38" s="3">
        <f>1.25*Sheet1!L38</f>
        <v>2.8549999999999995</v>
      </c>
      <c r="M38" s="3">
        <f>1.5*Sheet1!M38</f>
        <v>8.7607499999999998</v>
      </c>
      <c r="N38" s="3">
        <f>1.25*Sheet1!N38</f>
        <v>11.2075</v>
      </c>
      <c r="O38" s="3">
        <f>1.5*Sheet1!O38</f>
        <v>11.780249999999985</v>
      </c>
      <c r="Q38" s="3">
        <f>1*Sheet1!Q38</f>
        <v>8.9659999999999993</v>
      </c>
      <c r="R38" s="3">
        <f>1.25*Sheet1!R38</f>
        <v>9.8168749999999871</v>
      </c>
      <c r="S38" s="3">
        <f>1.5*Sheet1!S38</f>
        <v>10.78275</v>
      </c>
      <c r="T38" s="3">
        <f>1.5*Sheet1!T38</f>
        <v>11.828499999999991</v>
      </c>
      <c r="U38" s="3">
        <f>0.75*Sheet1!U38</f>
        <v>4.0649999999999995</v>
      </c>
      <c r="V38" s="3">
        <f>0.75*Sheet1!V38</f>
        <v>5.7138749999999927</v>
      </c>
      <c r="W38" s="3">
        <f>0.75*Sheet1!W38</f>
        <v>1.1774999999999927</v>
      </c>
      <c r="Y38" s="3">
        <f>1.25*Sheet1!Y38</f>
        <v>7.6543749999999999</v>
      </c>
      <c r="Z38" s="3">
        <f>0.5*Sheet1!Z38</f>
        <v>1.9710000000000001</v>
      </c>
      <c r="AA38" s="3">
        <f>0.5*Sheet1!AA38</f>
        <v>2.0114999999999998</v>
      </c>
      <c r="AB38" s="3">
        <f>0.5*Sheet1!AB38</f>
        <v>2.7013750000000001</v>
      </c>
      <c r="AD38" s="3">
        <f t="shared" si="0"/>
        <v>135.35849999999994</v>
      </c>
    </row>
    <row r="39" spans="1:30" s="3" customFormat="1" ht="16" x14ac:dyDescent="0.2">
      <c r="A39" s="2">
        <v>162</v>
      </c>
      <c r="B39" s="2" t="s">
        <v>61</v>
      </c>
      <c r="C39" s="2" t="s">
        <v>57</v>
      </c>
      <c r="D39" s="2" t="s">
        <v>6</v>
      </c>
      <c r="F39" s="3">
        <f>0.75*Sheet1!F39</f>
        <v>5.5440000000000005</v>
      </c>
      <c r="G39" s="3">
        <f>1.25*Sheet1!G39</f>
        <v>7.4350000000000005</v>
      </c>
      <c r="H39" s="3">
        <f>1.25*Sheet1!H39</f>
        <v>9.0931250000000006</v>
      </c>
      <c r="J39" s="3">
        <f>1.25*Sheet1!J39</f>
        <v>9.0931250000000006</v>
      </c>
      <c r="K39" s="3">
        <f>1.25*Sheet1!K39</f>
        <v>10.128124999999999</v>
      </c>
      <c r="L39" s="3">
        <f>1.25*Sheet1!L39</f>
        <v>7.2162499999999996</v>
      </c>
      <c r="M39" s="3">
        <f>1.5*Sheet1!M39</f>
        <v>8.7607499999999998</v>
      </c>
      <c r="N39" s="3">
        <f>1.25*Sheet1!N39</f>
        <v>11.2075</v>
      </c>
      <c r="O39" s="3">
        <f>1.5*Sheet1!O39</f>
        <v>12.2895</v>
      </c>
      <c r="Q39" s="3">
        <f>1*Sheet1!Q39</f>
        <v>8.9659999999999993</v>
      </c>
      <c r="R39" s="3">
        <f>1.25*Sheet1!R39</f>
        <v>10.241249999999999</v>
      </c>
      <c r="S39" s="3">
        <f>1.5*Sheet1!S39</f>
        <v>11.733000000000001</v>
      </c>
      <c r="T39" s="3">
        <f>1.5*Sheet1!T39</f>
        <v>11.092499999999999</v>
      </c>
      <c r="U39" s="3">
        <f>0.75*Sheet1!U39</f>
        <v>5.4742500000000005</v>
      </c>
      <c r="V39" s="3">
        <f>0.75*Sheet1!V39</f>
        <v>5.7911250000000001</v>
      </c>
      <c r="W39" s="3">
        <f>0.75*Sheet1!W39</f>
        <v>2.5822500000000002</v>
      </c>
      <c r="Y39" s="3">
        <f>1.25*Sheet1!Y39</f>
        <v>5.5975000000000001</v>
      </c>
      <c r="Z39" s="3">
        <f>0.5*Sheet1!Z39</f>
        <v>3.4587499999999949</v>
      </c>
      <c r="AA39" s="3">
        <f>0.5*Sheet1!AA39</f>
        <v>2.6515</v>
      </c>
      <c r="AB39" s="3">
        <f>0.5*Sheet1!AB39</f>
        <v>2.5535000000000001</v>
      </c>
      <c r="AD39" s="3">
        <f t="shared" si="0"/>
        <v>150.90899999999996</v>
      </c>
    </row>
    <row r="40" spans="1:30" s="3" customFormat="1" ht="16" x14ac:dyDescent="0.2">
      <c r="A40" s="2">
        <v>179</v>
      </c>
      <c r="B40" s="2" t="s">
        <v>62</v>
      </c>
      <c r="C40" s="2" t="s">
        <v>57</v>
      </c>
      <c r="D40" s="2" t="s">
        <v>6</v>
      </c>
      <c r="F40" s="3">
        <f>0.75*Sheet1!F40</f>
        <v>5.0253749999999924</v>
      </c>
      <c r="G40" s="3">
        <f>1.25*Sheet1!G40</f>
        <v>7.5337500000000004</v>
      </c>
      <c r="H40" s="3">
        <f>1.25*Sheet1!H40</f>
        <v>9.0931250000000006</v>
      </c>
      <c r="J40" s="3">
        <f>1.25*Sheet1!J40</f>
        <v>9.0931250000000006</v>
      </c>
      <c r="K40" s="3">
        <f>1.25*Sheet1!K40</f>
        <v>7.5687499999999996</v>
      </c>
      <c r="L40" s="3">
        <f>1.25*Sheet1!L40</f>
        <v>3.2650000000000001</v>
      </c>
      <c r="M40" s="3">
        <f>1.5*Sheet1!M40</f>
        <v>8.7607499999999998</v>
      </c>
      <c r="N40" s="3">
        <f>1.25*Sheet1!N40</f>
        <v>11.2075</v>
      </c>
      <c r="O40" s="3">
        <f>1.5*Sheet1!O40</f>
        <v>12.94425</v>
      </c>
      <c r="Q40" s="3">
        <f>1*Sheet1!Q40</f>
        <v>8.9659999999999993</v>
      </c>
      <c r="R40" s="3">
        <f>1.25*Sheet1!R40</f>
        <v>10.786875</v>
      </c>
      <c r="S40" s="3">
        <f>1.5*Sheet1!S40</f>
        <v>12.671250000000001</v>
      </c>
      <c r="T40" s="3">
        <f>1.5*Sheet1!T40</f>
        <v>12.016999999999994</v>
      </c>
      <c r="U40" s="3">
        <f>0.75*Sheet1!U40</f>
        <v>4.0676249999999996</v>
      </c>
      <c r="V40" s="3">
        <f>0.75*Sheet1!V40</f>
        <v>6.9691874999999994</v>
      </c>
      <c r="W40" s="3">
        <f>0.75*Sheet1!W40</f>
        <v>1.149</v>
      </c>
      <c r="Y40" s="3">
        <f>1.25*Sheet1!Y40</f>
        <v>7.8343749999999881</v>
      </c>
      <c r="Z40" s="3">
        <f>0.5*Sheet1!Z40</f>
        <v>3.0459999999999998</v>
      </c>
      <c r="AA40" s="3">
        <f>0.5*Sheet1!AA40</f>
        <v>2.6592499999999948</v>
      </c>
      <c r="AB40" s="3">
        <f>0.5*Sheet1!AB40</f>
        <v>2.7026249999999998</v>
      </c>
      <c r="AD40" s="3">
        <f t="shared" si="0"/>
        <v>147.36081249999998</v>
      </c>
    </row>
    <row r="41" spans="1:30" s="3" customFormat="1" ht="16" x14ac:dyDescent="0.2">
      <c r="A41" s="2">
        <v>221</v>
      </c>
      <c r="B41" s="2" t="s">
        <v>63</v>
      </c>
      <c r="C41" s="2" t="s">
        <v>57</v>
      </c>
      <c r="D41" s="2" t="s">
        <v>6</v>
      </c>
      <c r="F41" s="3">
        <f>0.75*Sheet1!F41</f>
        <v>5.3696250000000001</v>
      </c>
      <c r="G41" s="3">
        <f>1.25*Sheet1!G41</f>
        <v>6.3025000000000002</v>
      </c>
      <c r="H41" s="3">
        <f>1.25*Sheet1!H41</f>
        <v>9.0931250000000006</v>
      </c>
      <c r="J41" s="3">
        <f>1.25*Sheet1!J41</f>
        <v>9.0931250000000006</v>
      </c>
      <c r="K41" s="3">
        <f>1.25*Sheet1!K41</f>
        <v>3.8931249999999999</v>
      </c>
      <c r="L41" s="3">
        <f>1.25*Sheet1!L41</f>
        <v>0</v>
      </c>
      <c r="M41" s="3">
        <f>1.5*Sheet1!M41</f>
        <v>8.7607499999999998</v>
      </c>
      <c r="N41" s="3">
        <f>1.25*Sheet1!N41</f>
        <v>11.2075</v>
      </c>
      <c r="O41" s="3">
        <f>1.5*Sheet1!O41</f>
        <v>11.003999999999984</v>
      </c>
      <c r="Q41" s="3">
        <f>1*Sheet1!Q41</f>
        <v>8.9659999999999993</v>
      </c>
      <c r="R41" s="3">
        <f>1.25*Sheet1!R41</f>
        <v>9.1699999999999875</v>
      </c>
      <c r="S41" s="3">
        <f>1.5*Sheet1!S41</f>
        <v>9.9570000000000007</v>
      </c>
      <c r="T41" s="3">
        <f>1.5*Sheet1!T41</f>
        <v>11.270999999999985</v>
      </c>
      <c r="U41" s="3">
        <f>0.75*Sheet1!U41</f>
        <v>4.008</v>
      </c>
      <c r="V41" s="3">
        <f>0.75*Sheet1!V41</f>
        <v>5.8184999999999931</v>
      </c>
      <c r="W41" s="3">
        <f>0.75*Sheet1!W41</f>
        <v>0.94387500000000002</v>
      </c>
      <c r="Y41" s="3">
        <f>1.25*Sheet1!Y41</f>
        <v>6.1124999999999998</v>
      </c>
      <c r="Z41" s="3">
        <f>0.5*Sheet1!Z41</f>
        <v>0.5</v>
      </c>
      <c r="AA41" s="3">
        <f>0.5*Sheet1!AA41</f>
        <v>0.25</v>
      </c>
      <c r="AB41" s="3">
        <f>0.5*Sheet1!AB41</f>
        <v>2.9027500000000002</v>
      </c>
      <c r="AD41" s="3">
        <f t="shared" si="0"/>
        <v>124.62337499999995</v>
      </c>
    </row>
    <row r="42" spans="1:30" s="3" customFormat="1" ht="16" x14ac:dyDescent="0.2">
      <c r="A42" s="2">
        <v>245</v>
      </c>
      <c r="B42" s="2" t="s">
        <v>64</v>
      </c>
      <c r="C42" s="2" t="s">
        <v>57</v>
      </c>
      <c r="D42" s="2" t="s">
        <v>6</v>
      </c>
      <c r="F42" s="3">
        <f>0.75*Sheet1!F42</f>
        <v>3.4950000000000001</v>
      </c>
      <c r="G42" s="3">
        <f>1.25*Sheet1!G42</f>
        <v>6.5887500000000001</v>
      </c>
      <c r="H42" s="3">
        <f>1.25*Sheet1!H42</f>
        <v>9.0931250000000006</v>
      </c>
      <c r="J42" s="3">
        <f>1.25*Sheet1!J42</f>
        <v>9.0931250000000006</v>
      </c>
      <c r="K42" s="3">
        <f>1.25*Sheet1!K42</f>
        <v>12.47625</v>
      </c>
      <c r="L42" s="3">
        <f>1.25*Sheet1!L42</f>
        <v>9.5025000000000013</v>
      </c>
      <c r="M42" s="3">
        <f>1.5*Sheet1!M42</f>
        <v>8.7607499999999998</v>
      </c>
      <c r="N42" s="3">
        <f>1.25*Sheet1!N42</f>
        <v>11.2075</v>
      </c>
      <c r="O42" s="3">
        <f>1.5*Sheet1!O42</f>
        <v>11.891999999999999</v>
      </c>
      <c r="Q42" s="3">
        <f>1*Sheet1!Q42</f>
        <v>8.9659999999999993</v>
      </c>
      <c r="R42" s="3">
        <f>1.25*Sheet1!R42</f>
        <v>9.91</v>
      </c>
      <c r="S42" s="3">
        <f>1.5*Sheet1!S42</f>
        <v>11.54025</v>
      </c>
      <c r="T42" s="3">
        <f>1.5*Sheet1!T42</f>
        <v>12.095499999999989</v>
      </c>
      <c r="U42" s="3">
        <f>0.75*Sheet1!U42</f>
        <v>5.7018750000000002</v>
      </c>
      <c r="V42" s="3">
        <f>0.75*Sheet1!V42</f>
        <v>5.3831249999999997</v>
      </c>
      <c r="W42" s="3">
        <f>0.75*Sheet1!W42</f>
        <v>3.2512499999999998</v>
      </c>
      <c r="Y42" s="3">
        <f>1.25*Sheet1!Y42</f>
        <v>5.4787499999999998</v>
      </c>
      <c r="Z42" s="3">
        <f>0.5*Sheet1!Z42</f>
        <v>3.9129999999999998</v>
      </c>
      <c r="AA42" s="3">
        <f>0.5*Sheet1!AA42</f>
        <v>2.7970000000000002</v>
      </c>
      <c r="AB42" s="3">
        <f>0.5*Sheet1!AB42</f>
        <v>2.3414999999999999</v>
      </c>
      <c r="AD42" s="3">
        <f t="shared" si="0"/>
        <v>153.48724999999996</v>
      </c>
    </row>
    <row r="43" spans="1:30" s="3" customFormat="1" ht="16" x14ac:dyDescent="0.2">
      <c r="A43" s="2">
        <v>254</v>
      </c>
      <c r="B43" s="2" t="s">
        <v>65</v>
      </c>
      <c r="C43" s="2" t="s">
        <v>57</v>
      </c>
      <c r="D43" s="2" t="s">
        <v>6</v>
      </c>
      <c r="F43" s="3">
        <f>0.75*Sheet1!F43</f>
        <v>3.0603749999999996</v>
      </c>
      <c r="G43" s="3">
        <f>1.25*Sheet1!G43</f>
        <v>6.5737500000000004</v>
      </c>
      <c r="H43" s="3">
        <f>1.25*Sheet1!H43</f>
        <v>9.0931250000000006</v>
      </c>
      <c r="J43" s="3">
        <f>1.25*Sheet1!J43</f>
        <v>9.0931250000000006</v>
      </c>
      <c r="K43" s="3">
        <f>1.25*Sheet1!K43</f>
        <v>10.2125</v>
      </c>
      <c r="L43" s="3">
        <f>1.25*Sheet1!L43</f>
        <v>7.3024999999999993</v>
      </c>
      <c r="M43" s="3">
        <f>1.5*Sheet1!M43</f>
        <v>8.7607499999999998</v>
      </c>
      <c r="N43" s="3">
        <f>1.25*Sheet1!N43</f>
        <v>11.2075</v>
      </c>
      <c r="O43" s="3">
        <f>1.5*Sheet1!O43</f>
        <v>12.442499999999999</v>
      </c>
      <c r="Q43" s="3">
        <f>1*Sheet1!Q43</f>
        <v>8.9659999999999993</v>
      </c>
      <c r="R43" s="3">
        <f>1.25*Sheet1!R43</f>
        <v>10.36875</v>
      </c>
      <c r="S43" s="3">
        <f>1.5*Sheet1!S43</f>
        <v>11.35425</v>
      </c>
      <c r="T43" s="3">
        <f>1.5*Sheet1!T43</f>
        <v>12.056499999999989</v>
      </c>
      <c r="U43" s="3">
        <f>0.75*Sheet1!U43</f>
        <v>5.1667500000000004</v>
      </c>
      <c r="V43" s="3">
        <f>0.75*Sheet1!V43</f>
        <v>6.3174374999999996</v>
      </c>
      <c r="W43" s="3">
        <f>0.75*Sheet1!W43</f>
        <v>2.0782499999999997</v>
      </c>
      <c r="Y43" s="3">
        <f>1.25*Sheet1!Y43</f>
        <v>5.6881250000000003</v>
      </c>
      <c r="Z43" s="3">
        <f>0.5*Sheet1!Z43</f>
        <v>2.8584999999999998</v>
      </c>
      <c r="AA43" s="3">
        <f>0.5*Sheet1!AA43</f>
        <v>3.7</v>
      </c>
      <c r="AB43" s="3">
        <f>0.5*Sheet1!AB43</f>
        <v>2.468375</v>
      </c>
      <c r="AD43" s="3">
        <f t="shared" si="0"/>
        <v>148.76906249999999</v>
      </c>
    </row>
    <row r="44" spans="1:30" s="3" customFormat="1" ht="16" x14ac:dyDescent="0.2">
      <c r="A44" s="2">
        <v>255</v>
      </c>
      <c r="B44" s="2" t="s">
        <v>66</v>
      </c>
      <c r="C44" s="2" t="s">
        <v>57</v>
      </c>
      <c r="D44" s="2" t="s">
        <v>6</v>
      </c>
      <c r="F44" s="3">
        <f>0.75*Sheet1!F44</f>
        <v>4.2720000000000002</v>
      </c>
      <c r="G44" s="3">
        <f>1.25*Sheet1!G44</f>
        <v>7.1287500000000001</v>
      </c>
      <c r="H44" s="3">
        <f>1.25*Sheet1!H44</f>
        <v>9.0931250000000006</v>
      </c>
      <c r="J44" s="3">
        <f>1.25*Sheet1!J44</f>
        <v>9.0931250000000006</v>
      </c>
      <c r="K44" s="3">
        <f>1.25*Sheet1!K44</f>
        <v>5.5987499999999999</v>
      </c>
      <c r="L44" s="3">
        <f>1.25*Sheet1!L44</f>
        <v>3.3987499999999997</v>
      </c>
      <c r="M44" s="3">
        <f>1.5*Sheet1!M44</f>
        <v>8.7607499999999998</v>
      </c>
      <c r="N44" s="3">
        <f>1.25*Sheet1!N44</f>
        <v>11.2075</v>
      </c>
      <c r="O44" s="3">
        <f>1.5*Sheet1!O44</f>
        <v>13.173750000000002</v>
      </c>
      <c r="Q44" s="3">
        <f>1*Sheet1!Q44</f>
        <v>8.9659999999999993</v>
      </c>
      <c r="R44" s="3">
        <f>1.25*Sheet1!R44</f>
        <v>10.978125</v>
      </c>
      <c r="S44" s="3">
        <f>1.5*Sheet1!S44</f>
        <v>11.712</v>
      </c>
      <c r="T44" s="3">
        <f>1.5*Sheet1!T44</f>
        <v>11.5395</v>
      </c>
      <c r="U44" s="3">
        <f>0.75*Sheet1!U44</f>
        <v>4.0361250000000002</v>
      </c>
      <c r="V44" s="3">
        <f>0.75*Sheet1!V44</f>
        <v>6.9710625000000004</v>
      </c>
      <c r="W44" s="3">
        <f>0.75*Sheet1!W44</f>
        <v>1.1208749999999998</v>
      </c>
      <c r="Y44" s="3">
        <f>1.25*Sheet1!Y44</f>
        <v>7.743749999999987</v>
      </c>
      <c r="Z44" s="3">
        <f>0.5*Sheet1!Z44</f>
        <v>2.2614999999999998</v>
      </c>
      <c r="AA44" s="3">
        <f>0.5*Sheet1!AA44</f>
        <v>2.1777500000000001</v>
      </c>
      <c r="AB44" s="3">
        <f>0.5*Sheet1!AB44</f>
        <v>2.613</v>
      </c>
      <c r="AD44" s="3">
        <f t="shared" si="0"/>
        <v>141.84618750000001</v>
      </c>
    </row>
    <row r="45" spans="1:30" s="3" customFormat="1" ht="16" x14ac:dyDescent="0.2">
      <c r="A45" s="2">
        <v>261</v>
      </c>
      <c r="B45" s="2" t="s">
        <v>67</v>
      </c>
      <c r="C45" s="2" t="s">
        <v>57</v>
      </c>
      <c r="D45" s="2" t="s">
        <v>6</v>
      </c>
      <c r="F45" s="3">
        <f>0.75*Sheet1!F45</f>
        <v>5.6643749999999997</v>
      </c>
      <c r="G45" s="3">
        <f>1.25*Sheet1!G45</f>
        <v>7.3524999999999991</v>
      </c>
      <c r="H45" s="3">
        <f>1.25*Sheet1!H45</f>
        <v>9.0931250000000006</v>
      </c>
      <c r="J45" s="3">
        <f>1.25*Sheet1!J45</f>
        <v>9.0931250000000006</v>
      </c>
      <c r="K45" s="3">
        <f>1.25*Sheet1!K45</f>
        <v>4.7456250000000004</v>
      </c>
      <c r="L45" s="3">
        <f>1.25*Sheet1!L45</f>
        <v>0</v>
      </c>
      <c r="M45" s="3">
        <f>1.5*Sheet1!M45</f>
        <v>8.7607499999999998</v>
      </c>
      <c r="N45" s="3">
        <f>1.25*Sheet1!N45</f>
        <v>11.2075</v>
      </c>
      <c r="O45" s="3">
        <f>1.5*Sheet1!O45</f>
        <v>9.9885000000000002</v>
      </c>
      <c r="Q45" s="3">
        <f>1*Sheet1!Q45</f>
        <v>8.9659999999999993</v>
      </c>
      <c r="R45" s="3">
        <f>1.25*Sheet1!R45</f>
        <v>8.3237500000000004</v>
      </c>
      <c r="S45" s="3">
        <f>1.5*Sheet1!S45</f>
        <v>9.0232500000000009</v>
      </c>
      <c r="T45" s="3">
        <f>1.5*Sheet1!T45</f>
        <v>11.633499999999991</v>
      </c>
      <c r="U45" s="3">
        <f>0.75*Sheet1!U45</f>
        <v>4.008</v>
      </c>
      <c r="V45" s="3">
        <f>0.75*Sheet1!V45</f>
        <v>4.2560625000000005</v>
      </c>
      <c r="W45" s="3">
        <f>0.75*Sheet1!W45</f>
        <v>1.1066249999999926</v>
      </c>
      <c r="Y45" s="3">
        <f>1.25*Sheet1!Y45</f>
        <v>6.1281249999999998</v>
      </c>
      <c r="Z45" s="3">
        <f>0.5*Sheet1!Z45</f>
        <v>2.3439999999999999</v>
      </c>
      <c r="AA45" s="3">
        <f>0.5*Sheet1!AA45</f>
        <v>2.1215000000000002</v>
      </c>
      <c r="AB45" s="3">
        <f>0.5*Sheet1!AB45</f>
        <v>2.5522499999999999</v>
      </c>
      <c r="AD45" s="3">
        <f t="shared" si="0"/>
        <v>126.36856249999998</v>
      </c>
    </row>
    <row r="46" spans="1:30" s="3" customFormat="1" ht="16" x14ac:dyDescent="0.2">
      <c r="A46" s="2">
        <v>217</v>
      </c>
      <c r="B46" s="2" t="s">
        <v>68</v>
      </c>
      <c r="C46" s="2" t="s">
        <v>69</v>
      </c>
      <c r="D46" s="2" t="s">
        <v>11</v>
      </c>
      <c r="F46" s="3">
        <f>0.75*Sheet1!F46</f>
        <v>6.2861250000000002</v>
      </c>
      <c r="G46" s="3">
        <f>1.25*Sheet1!G46</f>
        <v>9.0462500000000006</v>
      </c>
      <c r="H46" s="3">
        <f>1.25*Sheet1!H46</f>
        <v>11.161874999999988</v>
      </c>
      <c r="J46" s="3">
        <f>1.25*Sheet1!J46</f>
        <v>11.161874999999988</v>
      </c>
      <c r="K46" s="3">
        <f>1.25*Sheet1!K46</f>
        <v>7.788125</v>
      </c>
      <c r="L46" s="3">
        <f>1.25*Sheet1!L46</f>
        <v>1.25</v>
      </c>
      <c r="M46" s="3">
        <f>1.5*Sheet1!M46</f>
        <v>5.5875000000000004</v>
      </c>
      <c r="N46" s="3">
        <f>1.25*Sheet1!N46</f>
        <v>9.7062499999999989</v>
      </c>
      <c r="O46" s="3">
        <f>1.5*Sheet1!O46</f>
        <v>10.757249999999999</v>
      </c>
      <c r="Q46" s="3">
        <f>1*Sheet1!Q46</f>
        <v>7.7649999999999997</v>
      </c>
      <c r="R46" s="3">
        <f>1.25*Sheet1!R46</f>
        <v>8.9643750000000004</v>
      </c>
      <c r="S46" s="3">
        <f>1.5*Sheet1!S46</f>
        <v>10.44675</v>
      </c>
      <c r="T46" s="3">
        <f>1.5*Sheet1!T46</f>
        <v>10.599</v>
      </c>
      <c r="U46" s="3">
        <f>0.75*Sheet1!U46</f>
        <v>1.981125</v>
      </c>
      <c r="V46" s="3">
        <f>0.75*Sheet1!V46</f>
        <v>3.3959999999999999</v>
      </c>
      <c r="W46" s="3">
        <f>0.75*Sheet1!W46</f>
        <v>1.9016249999999999</v>
      </c>
      <c r="Y46" s="3">
        <f>1.25*Sheet1!Y46</f>
        <v>1.25</v>
      </c>
      <c r="Z46" s="3">
        <f>0.5*Sheet1!Z46</f>
        <v>3.778</v>
      </c>
      <c r="AA46" s="3">
        <f>0.5*Sheet1!AA46</f>
        <v>2.7499999999999951</v>
      </c>
      <c r="AB46" s="3">
        <f>0.5*Sheet1!AB46</f>
        <v>2.7754999999999952</v>
      </c>
      <c r="AD46" s="3">
        <f t="shared" si="0"/>
        <v>128.35262499999999</v>
      </c>
    </row>
    <row r="47" spans="1:30" s="3" customFormat="1" ht="16" x14ac:dyDescent="0.2">
      <c r="A47" s="2">
        <v>19</v>
      </c>
      <c r="B47" s="2" t="s">
        <v>70</v>
      </c>
      <c r="C47" s="2" t="s">
        <v>71</v>
      </c>
      <c r="D47" s="2" t="s">
        <v>16</v>
      </c>
      <c r="F47" s="3">
        <f>0.75*Sheet1!F47</f>
        <v>4.6297499999999996</v>
      </c>
      <c r="G47" s="3">
        <f>1.25*Sheet1!G47</f>
        <v>10.126250000000001</v>
      </c>
      <c r="H47" s="3">
        <f>1.25*Sheet1!H47</f>
        <v>1.7825</v>
      </c>
      <c r="J47" s="3">
        <f>1.25*Sheet1!J47</f>
        <v>1.7825</v>
      </c>
      <c r="K47" s="3">
        <f>1.25*Sheet1!K47</f>
        <v>6.09</v>
      </c>
      <c r="L47" s="3">
        <f>1.25*Sheet1!L47</f>
        <v>11.952499999999999</v>
      </c>
      <c r="M47" s="3">
        <f>1.5*Sheet1!M47</f>
        <v>9.1544999999999987</v>
      </c>
      <c r="N47" s="3">
        <f>1.25*Sheet1!N47</f>
        <v>4.7691666666666626</v>
      </c>
      <c r="O47" s="3">
        <f>1.5*Sheet1!O47</f>
        <v>4.2330000000000005</v>
      </c>
      <c r="Q47" s="3">
        <f>1*Sheet1!Q47</f>
        <v>3.8153333333333301</v>
      </c>
      <c r="R47" s="3">
        <f>1.25*Sheet1!R47</f>
        <v>3.5274999999999999</v>
      </c>
      <c r="S47" s="3">
        <f>1.5*Sheet1!S47</f>
        <v>10.599</v>
      </c>
      <c r="T47" s="3">
        <f>1.5*Sheet1!T47</f>
        <v>9.6349999999999945</v>
      </c>
      <c r="U47" s="3">
        <f>0.75*Sheet1!U47</f>
        <v>5.9782500000000001</v>
      </c>
      <c r="V47" s="3">
        <f>0.75*Sheet1!V47</f>
        <v>1.5416249999999998</v>
      </c>
      <c r="W47" s="3">
        <f>0.75*Sheet1!W47</f>
        <v>5.2631250000000005</v>
      </c>
      <c r="Y47" s="3">
        <f>1.25*Sheet1!Y47</f>
        <v>4.36625</v>
      </c>
      <c r="Z47" s="3">
        <f>0.5*Sheet1!Z47</f>
        <v>3.6342499999999949</v>
      </c>
      <c r="AA47" s="3">
        <f>0.5*Sheet1!AA47</f>
        <v>2.4717500000000001</v>
      </c>
      <c r="AB47" s="3">
        <f>0.5*Sheet1!AB47</f>
        <v>2.4183750000000002</v>
      </c>
      <c r="AD47" s="3">
        <f t="shared" si="0"/>
        <v>107.77062499999997</v>
      </c>
    </row>
    <row r="48" spans="1:30" s="3" customFormat="1" ht="16" x14ac:dyDescent="0.2">
      <c r="A48" s="2">
        <v>225</v>
      </c>
      <c r="B48" s="2" t="s">
        <v>72</v>
      </c>
      <c r="C48" s="2" t="s">
        <v>71</v>
      </c>
      <c r="D48" s="2" t="s">
        <v>16</v>
      </c>
      <c r="F48" s="3">
        <f>0.75*Sheet1!F48</f>
        <v>4.3079999999999998</v>
      </c>
      <c r="G48" s="3">
        <f>1.25*Sheet1!G48</f>
        <v>8.9737500000000008</v>
      </c>
      <c r="H48" s="3">
        <f>1.25*Sheet1!H48</f>
        <v>1.8699999999999875</v>
      </c>
      <c r="J48" s="3">
        <f>1.25*Sheet1!J48</f>
        <v>1.8699999999999875</v>
      </c>
      <c r="K48" s="3">
        <f>1.25*Sheet1!K48</f>
        <v>7.1568750000000003</v>
      </c>
      <c r="L48" s="3">
        <f>1.25*Sheet1!L48</f>
        <v>11.61</v>
      </c>
      <c r="M48" s="3">
        <f>1.5*Sheet1!M48</f>
        <v>9.1544999999999987</v>
      </c>
      <c r="N48" s="3">
        <f>1.25*Sheet1!N48</f>
        <v>4.8695833333333249</v>
      </c>
      <c r="O48" s="3">
        <f>1.5*Sheet1!O48</f>
        <v>4.1115000000000004</v>
      </c>
      <c r="Q48" s="3">
        <f>1*Sheet1!Q48</f>
        <v>3.8956666666666599</v>
      </c>
      <c r="R48" s="3">
        <f>1.25*Sheet1!R48</f>
        <v>3.42625</v>
      </c>
      <c r="S48" s="3">
        <f>1.5*Sheet1!S48</f>
        <v>10.812749999999999</v>
      </c>
      <c r="T48" s="3">
        <f>1.5*Sheet1!T48</f>
        <v>9.3089999999999851</v>
      </c>
      <c r="U48" s="3">
        <f>0.75*Sheet1!U48</f>
        <v>4.2746249999999995</v>
      </c>
      <c r="V48" s="3">
        <f>0.75*Sheet1!V48</f>
        <v>2.1290624999999999</v>
      </c>
      <c r="W48" s="3">
        <f>0.75*Sheet1!W48</f>
        <v>5.1464999999999996</v>
      </c>
      <c r="Y48" s="3">
        <f>1.25*Sheet1!Y48</f>
        <v>3.2949999999999999</v>
      </c>
      <c r="Z48" s="3">
        <f>0.5*Sheet1!Z48</f>
        <v>3.3467499999999948</v>
      </c>
      <c r="AA48" s="3">
        <f>0.5*Sheet1!AA48</f>
        <v>2.8587499999999948</v>
      </c>
      <c r="AB48" s="3">
        <f>0.5*Sheet1!AB48</f>
        <v>2.5422500000000001</v>
      </c>
      <c r="AD48" s="3">
        <f t="shared" si="0"/>
        <v>104.96081249999995</v>
      </c>
    </row>
    <row r="49" spans="1:30" s="3" customFormat="1" ht="16" x14ac:dyDescent="0.2">
      <c r="A49" s="2">
        <v>31</v>
      </c>
      <c r="B49" s="2" t="s">
        <v>73</v>
      </c>
      <c r="C49" s="2" t="s">
        <v>74</v>
      </c>
      <c r="D49" s="2" t="s">
        <v>11</v>
      </c>
      <c r="F49" s="3">
        <f>0.75*Sheet1!F49</f>
        <v>6.7706249999999999</v>
      </c>
      <c r="G49" s="3">
        <f>1.25*Sheet1!G49</f>
        <v>11.349999999999987</v>
      </c>
      <c r="H49" s="3">
        <f>1.25*Sheet1!H49</f>
        <v>2.3143750000000001</v>
      </c>
      <c r="J49" s="3">
        <f>1.25*Sheet1!J49</f>
        <v>2.3143750000000001</v>
      </c>
      <c r="K49" s="3">
        <f>1.25*Sheet1!K49</f>
        <v>7.1356250000000001</v>
      </c>
      <c r="L49" s="3">
        <f>1.25*Sheet1!L49</f>
        <v>1.57375</v>
      </c>
      <c r="M49" s="3">
        <f>1.5*Sheet1!M49</f>
        <v>6.89175</v>
      </c>
      <c r="N49" s="3">
        <f>1.25*Sheet1!N49</f>
        <v>7.9358333333333251</v>
      </c>
      <c r="O49" s="3">
        <f>1.5*Sheet1!O49</f>
        <v>12.833249999999985</v>
      </c>
      <c r="Q49" s="3">
        <f>1*Sheet1!Q49</f>
        <v>6.3486666666666602</v>
      </c>
      <c r="R49" s="3">
        <f>1.25*Sheet1!R49</f>
        <v>10.694374999999987</v>
      </c>
      <c r="S49" s="3">
        <f>1.5*Sheet1!S49</f>
        <v>9.3330000000000002</v>
      </c>
      <c r="T49" s="3">
        <f>1.5*Sheet1!T49</f>
        <v>9.4524999999999899</v>
      </c>
      <c r="U49" s="3">
        <f>0.75*Sheet1!U49</f>
        <v>1.1505000000000001</v>
      </c>
      <c r="V49" s="3">
        <f>0.75*Sheet1!V49</f>
        <v>3.2606250000000001</v>
      </c>
      <c r="W49" s="3">
        <f>0.75*Sheet1!W49</f>
        <v>1.41675</v>
      </c>
      <c r="Y49" s="3">
        <f>1.25*Sheet1!Y49</f>
        <v>3.7199999999999998</v>
      </c>
      <c r="Z49" s="3">
        <f>0.5*Sheet1!Z49</f>
        <v>3.1074999999999999</v>
      </c>
      <c r="AA49" s="3">
        <f>0.5*Sheet1!AA49</f>
        <v>3.7385000000000002</v>
      </c>
      <c r="AB49" s="3">
        <f>0.5*Sheet1!AB49</f>
        <v>2.4820000000000002</v>
      </c>
      <c r="AD49" s="3">
        <f t="shared" si="0"/>
        <v>113.82399999999994</v>
      </c>
    </row>
    <row r="50" spans="1:30" s="3" customFormat="1" ht="16" x14ac:dyDescent="0.2">
      <c r="A50" s="2">
        <v>152</v>
      </c>
      <c r="B50" s="2" t="s">
        <v>75</v>
      </c>
      <c r="C50" s="2" t="s">
        <v>74</v>
      </c>
      <c r="D50" s="2" t="s">
        <v>11</v>
      </c>
      <c r="F50" s="3">
        <f>0.75*Sheet1!F50</f>
        <v>6.9236250000000004</v>
      </c>
      <c r="G50" s="3">
        <f>1.25*Sheet1!G50</f>
        <v>11.643749999999999</v>
      </c>
      <c r="H50" s="3">
        <f>1.25*Sheet1!H50</f>
        <v>2.3143750000000001</v>
      </c>
      <c r="J50" s="3">
        <f>1.25*Sheet1!J50</f>
        <v>2.3143750000000001</v>
      </c>
      <c r="K50" s="3">
        <f>1.25*Sheet1!K50</f>
        <v>5.7725000000000009</v>
      </c>
      <c r="L50" s="3">
        <f>1.25*Sheet1!L50</f>
        <v>0</v>
      </c>
      <c r="M50" s="3">
        <f>1.5*Sheet1!M50</f>
        <v>6.89175</v>
      </c>
      <c r="N50" s="3">
        <f>1.25*Sheet1!N50</f>
        <v>7.9358333333333251</v>
      </c>
      <c r="O50" s="3">
        <f>1.5*Sheet1!O50</f>
        <v>13.952999999999999</v>
      </c>
      <c r="Q50" s="3">
        <f>1*Sheet1!Q50</f>
        <v>6.3486666666666602</v>
      </c>
      <c r="R50" s="3">
        <f>1.25*Sheet1!R50</f>
        <v>11.6275</v>
      </c>
      <c r="S50" s="3">
        <f>1.5*Sheet1!S50</f>
        <v>11.2155</v>
      </c>
      <c r="T50" s="3">
        <f>1.5*Sheet1!T50</f>
        <v>10.185999999999991</v>
      </c>
      <c r="U50" s="3">
        <f>0.75*Sheet1!U50</f>
        <v>1.14825</v>
      </c>
      <c r="V50" s="3">
        <f>0.75*Sheet1!V50</f>
        <v>4.6280625000000004</v>
      </c>
      <c r="W50" s="3">
        <f>0.75*Sheet1!W50</f>
        <v>0.69599999999999929</v>
      </c>
      <c r="Y50" s="3">
        <f>1.25*Sheet1!Y50</f>
        <v>5.1856249999999999</v>
      </c>
      <c r="Z50" s="3">
        <f>0.5*Sheet1!Z50</f>
        <v>2.5145</v>
      </c>
      <c r="AA50" s="3">
        <f>0.5*Sheet1!AA50</f>
        <v>1.831</v>
      </c>
      <c r="AB50" s="3">
        <f>0.5*Sheet1!AB50</f>
        <v>2.6772499999999999</v>
      </c>
      <c r="AD50" s="3">
        <f t="shared" si="0"/>
        <v>115.80756249999999</v>
      </c>
    </row>
    <row r="51" spans="1:30" s="3" customFormat="1" ht="16" x14ac:dyDescent="0.2">
      <c r="A51" s="2">
        <v>36</v>
      </c>
      <c r="B51" s="2" t="s">
        <v>76</v>
      </c>
      <c r="C51" s="2" t="s">
        <v>77</v>
      </c>
      <c r="D51" s="2" t="s">
        <v>6</v>
      </c>
      <c r="F51" s="3">
        <f>0.75*Sheet1!F51</f>
        <v>2.778</v>
      </c>
      <c r="G51" s="3">
        <f>1.25*Sheet1!G51</f>
        <v>5.6637499999999994</v>
      </c>
      <c r="H51" s="3">
        <f>1.25*Sheet1!H51</f>
        <v>5.4325000000000001</v>
      </c>
      <c r="J51" s="3">
        <f>1.25*Sheet1!J51</f>
        <v>5.4325000000000001</v>
      </c>
      <c r="K51" s="3">
        <f>1.25*Sheet1!K51</f>
        <v>7.3162500000000001</v>
      </c>
      <c r="L51" s="3">
        <f>1.25*Sheet1!L51</f>
        <v>7.5237499999999997</v>
      </c>
      <c r="M51" s="3">
        <f>1.5*Sheet1!M51</f>
        <v>9.7717500000000008</v>
      </c>
      <c r="N51" s="3">
        <f>1.25*Sheet1!N51</f>
        <v>10.838749999999999</v>
      </c>
      <c r="O51" s="3">
        <f>1.5*Sheet1!O51</f>
        <v>13.91175</v>
      </c>
      <c r="Q51" s="3">
        <f>1*Sheet1!Q51</f>
        <v>8.6709999999999994</v>
      </c>
      <c r="R51" s="3">
        <f>1.25*Sheet1!R51</f>
        <v>11.593125000000001</v>
      </c>
      <c r="S51" s="3">
        <f>1.5*Sheet1!S51</f>
        <v>10.610250000000001</v>
      </c>
      <c r="T51" s="3">
        <f>1.5*Sheet1!T51</f>
        <v>10.575499999999995</v>
      </c>
      <c r="U51" s="3">
        <f>0.75*Sheet1!U51</f>
        <v>3.5092500000000002</v>
      </c>
      <c r="V51" s="3">
        <f>0.75*Sheet1!V51</f>
        <v>7.3828125</v>
      </c>
      <c r="W51" s="3">
        <f>0.75*Sheet1!W51</f>
        <v>3.1552499999999997</v>
      </c>
      <c r="Y51" s="3">
        <f>1.25*Sheet1!Y51</f>
        <v>7.8474999999999993</v>
      </c>
      <c r="Z51" s="3">
        <f>0.5*Sheet1!Z51</f>
        <v>1.2824999999999951</v>
      </c>
      <c r="AA51" s="3">
        <f>0.5*Sheet1!AA51</f>
        <v>3.3494999999999999</v>
      </c>
      <c r="AB51" s="3">
        <f>0.5*Sheet1!AB51</f>
        <v>3.069</v>
      </c>
      <c r="AD51" s="3">
        <f t="shared" si="0"/>
        <v>139.71468749999997</v>
      </c>
    </row>
    <row r="52" spans="1:30" s="3" customFormat="1" ht="32" x14ac:dyDescent="0.2">
      <c r="A52" s="2">
        <v>67</v>
      </c>
      <c r="B52" s="2" t="s">
        <v>78</v>
      </c>
      <c r="C52" s="2" t="s">
        <v>77</v>
      </c>
      <c r="D52" s="2" t="s">
        <v>6</v>
      </c>
      <c r="F52" s="3">
        <f>0.75*Sheet1!F52</f>
        <v>4.874625</v>
      </c>
      <c r="G52" s="3">
        <f>1.25*Sheet1!G52</f>
        <v>6.71875</v>
      </c>
      <c r="H52" s="3">
        <f>1.25*Sheet1!H52</f>
        <v>5.4325000000000001</v>
      </c>
      <c r="J52" s="3">
        <f>1.25*Sheet1!J52</f>
        <v>5.4325000000000001</v>
      </c>
      <c r="K52" s="3">
        <f>1.25*Sheet1!K52</f>
        <v>5.3337500000000002</v>
      </c>
      <c r="L52" s="3">
        <f>1.25*Sheet1!L52</f>
        <v>2.6837499999999999</v>
      </c>
      <c r="M52" s="3">
        <f>1.5*Sheet1!M52</f>
        <v>9.7717500000000008</v>
      </c>
      <c r="N52" s="3">
        <f>1.25*Sheet1!N52</f>
        <v>10.838749999999999</v>
      </c>
      <c r="O52" s="3">
        <f>1.5*Sheet1!O52</f>
        <v>13.808999999999999</v>
      </c>
      <c r="Q52" s="3">
        <f>1*Sheet1!Q52</f>
        <v>8.6709999999999994</v>
      </c>
      <c r="R52" s="3">
        <f>1.25*Sheet1!R52</f>
        <v>11.5075</v>
      </c>
      <c r="S52" s="3">
        <f>1.5*Sheet1!S52</f>
        <v>8.0662499999999842</v>
      </c>
      <c r="T52" s="3">
        <f>1.5*Sheet1!T52</f>
        <v>8.765999999999984</v>
      </c>
      <c r="U52" s="3">
        <f>0.75*Sheet1!U52</f>
        <v>2.718375</v>
      </c>
      <c r="V52" s="3">
        <f>0.75*Sheet1!V52</f>
        <v>6.3948750000000008</v>
      </c>
      <c r="W52" s="3">
        <f>0.75*Sheet1!W52</f>
        <v>0.94950000000000001</v>
      </c>
      <c r="Y52" s="3">
        <f>1.25*Sheet1!Y52</f>
        <v>7.4031250000000002</v>
      </c>
      <c r="Z52" s="3">
        <f>0.5*Sheet1!Z52</f>
        <v>1.9059999999999999</v>
      </c>
      <c r="AA52" s="3">
        <f>0.5*Sheet1!AA52</f>
        <v>3.6782499999999949</v>
      </c>
      <c r="AB52" s="3">
        <f>0.5*Sheet1!AB52</f>
        <v>0.86762499999999998</v>
      </c>
      <c r="AD52" s="3">
        <f t="shared" si="0"/>
        <v>125.82387499999994</v>
      </c>
    </row>
    <row r="53" spans="1:30" s="3" customFormat="1" ht="16" x14ac:dyDescent="0.2">
      <c r="A53" s="2">
        <v>75</v>
      </c>
      <c r="B53" s="2" t="s">
        <v>79</v>
      </c>
      <c r="C53" s="2" t="s">
        <v>77</v>
      </c>
      <c r="D53" s="2" t="s">
        <v>6</v>
      </c>
      <c r="F53" s="3">
        <f>0.75*Sheet1!F53</f>
        <v>2.8781249999999998</v>
      </c>
      <c r="G53" s="3">
        <f>1.25*Sheet1!G53</f>
        <v>6.3775000000000004</v>
      </c>
      <c r="H53" s="3">
        <f>1.25*Sheet1!H53</f>
        <v>5.4325000000000001</v>
      </c>
      <c r="J53" s="3">
        <f>1.25*Sheet1!J53</f>
        <v>5.4325000000000001</v>
      </c>
      <c r="K53" s="3">
        <f>1.25*Sheet1!K53</f>
        <v>9.8306249999999995</v>
      </c>
      <c r="L53" s="3">
        <f>1.25*Sheet1!L53</f>
        <v>7.6462500000000002</v>
      </c>
      <c r="M53" s="3">
        <f>1.5*Sheet1!M53</f>
        <v>9.7717500000000008</v>
      </c>
      <c r="N53" s="3">
        <f>1.25*Sheet1!N53</f>
        <v>10.838749999999999</v>
      </c>
      <c r="O53" s="3">
        <f>1.5*Sheet1!O53</f>
        <v>11.790749999999985</v>
      </c>
      <c r="Q53" s="3">
        <f>1*Sheet1!Q53</f>
        <v>8.6709999999999994</v>
      </c>
      <c r="R53" s="3">
        <f>1.25*Sheet1!R53</f>
        <v>9.8256249999999881</v>
      </c>
      <c r="S53" s="3">
        <f>1.5*Sheet1!S53</f>
        <v>8.0564999999999998</v>
      </c>
      <c r="T53" s="3">
        <f>1.5*Sheet1!T53</f>
        <v>9.3304999999999954</v>
      </c>
      <c r="U53" s="3">
        <f>0.75*Sheet1!U53</f>
        <v>2.718375</v>
      </c>
      <c r="V53" s="3">
        <f>0.75*Sheet1!V53</f>
        <v>5.3375624999999998</v>
      </c>
      <c r="W53" s="3">
        <f>0.75*Sheet1!W53</f>
        <v>3.1822500000000002</v>
      </c>
      <c r="Y53" s="3">
        <f>1.25*Sheet1!Y53</f>
        <v>6.7731250000000003</v>
      </c>
      <c r="Z53" s="3">
        <f>0.5*Sheet1!Z53</f>
        <v>3.1117499999999998</v>
      </c>
      <c r="AA53" s="3">
        <f>0.5*Sheet1!AA53</f>
        <v>3.966499999999995</v>
      </c>
      <c r="AB53" s="3">
        <f>0.5*Sheet1!AB53</f>
        <v>2.2650000000000001</v>
      </c>
      <c r="AD53" s="3">
        <f t="shared" si="0"/>
        <v>133.23693749999995</v>
      </c>
    </row>
    <row r="54" spans="1:30" s="3" customFormat="1" ht="16" x14ac:dyDescent="0.2">
      <c r="A54" s="2">
        <v>89</v>
      </c>
      <c r="B54" s="2" t="s">
        <v>80</v>
      </c>
      <c r="C54" s="2" t="s">
        <v>77</v>
      </c>
      <c r="D54" s="2" t="s">
        <v>6</v>
      </c>
      <c r="F54" s="3">
        <f>0.75*Sheet1!F54</f>
        <v>2.0583749999999998</v>
      </c>
      <c r="G54" s="3">
        <f>1.25*Sheet1!G54</f>
        <v>0</v>
      </c>
      <c r="H54" s="3">
        <f>1.25*Sheet1!H54</f>
        <v>5.4325000000000001</v>
      </c>
      <c r="J54" s="3">
        <f>1.25*Sheet1!J54</f>
        <v>5.4325000000000001</v>
      </c>
      <c r="K54" s="3">
        <f>1.25*Sheet1!K54</f>
        <v>5.0543750000000003</v>
      </c>
      <c r="L54" s="3">
        <f>1.25*Sheet1!L54</f>
        <v>0</v>
      </c>
      <c r="M54" s="3">
        <f>1.5*Sheet1!M54</f>
        <v>9.7717500000000008</v>
      </c>
      <c r="N54" s="3">
        <f>1.25*Sheet1!N54</f>
        <v>10.838749999999999</v>
      </c>
      <c r="O54" s="3">
        <f>1.5*Sheet1!O54</f>
        <v>14.22</v>
      </c>
      <c r="Q54" s="3">
        <f>1*Sheet1!Q54</f>
        <v>8.6709999999999994</v>
      </c>
      <c r="R54" s="3">
        <f>1.25*Sheet1!R54</f>
        <v>11.850000000000001</v>
      </c>
      <c r="S54" s="3">
        <f>1.5*Sheet1!S54</f>
        <v>10.403249999999984</v>
      </c>
      <c r="T54" s="3">
        <f>1.5*Sheet1!T54</f>
        <v>10.246499999999985</v>
      </c>
      <c r="U54" s="3">
        <f>0.75*Sheet1!U54</f>
        <v>3.1301249999999996</v>
      </c>
      <c r="V54" s="3">
        <f>0.75*Sheet1!V54</f>
        <v>7.4649374999999925</v>
      </c>
      <c r="W54" s="3">
        <f>0.75*Sheet1!W54</f>
        <v>0.82649999999999257</v>
      </c>
      <c r="Y54" s="3">
        <f>1.25*Sheet1!Y54</f>
        <v>6.6274999999999871</v>
      </c>
      <c r="Z54" s="3">
        <f>0.5*Sheet1!Z54</f>
        <v>1.373</v>
      </c>
      <c r="AA54" s="3">
        <f>0.5*Sheet1!AA54</f>
        <v>3.0932499999999998</v>
      </c>
      <c r="AB54" s="3">
        <f>0.5*Sheet1!AB54</f>
        <v>1.0037499999999999</v>
      </c>
      <c r="AD54" s="3">
        <f t="shared" si="0"/>
        <v>117.49806249999995</v>
      </c>
    </row>
    <row r="55" spans="1:30" s="3" customFormat="1" ht="16" x14ac:dyDescent="0.2">
      <c r="A55" s="2">
        <v>213</v>
      </c>
      <c r="B55" s="2" t="s">
        <v>81</v>
      </c>
      <c r="C55" s="2" t="s">
        <v>82</v>
      </c>
      <c r="D55" s="2" t="s">
        <v>6</v>
      </c>
      <c r="F55" s="3">
        <f>0.75*Sheet1!F55</f>
        <v>6.1233750000000002</v>
      </c>
      <c r="G55" s="3">
        <f>1.25*Sheet1!G55</f>
        <v>8.41</v>
      </c>
      <c r="H55" s="3">
        <f>1.25*Sheet1!H55</f>
        <v>7.1899999999999871</v>
      </c>
      <c r="J55" s="3">
        <f>1.25*Sheet1!J55</f>
        <v>7.1899999999999871</v>
      </c>
      <c r="K55" s="3">
        <f>1.25*Sheet1!K55</f>
        <v>4.7774999999999999</v>
      </c>
      <c r="L55" s="3">
        <f>1.25*Sheet1!L55</f>
        <v>0</v>
      </c>
      <c r="M55" s="3">
        <f>1.5*Sheet1!M55</f>
        <v>6.1222499999999851</v>
      </c>
      <c r="N55" s="3">
        <f>1.25*Sheet1!N55</f>
        <v>7.4370833333333248</v>
      </c>
      <c r="O55" s="3">
        <f>1.5*Sheet1!O55</f>
        <v>13.40775</v>
      </c>
      <c r="Q55" s="3">
        <f>1*Sheet1!Q55</f>
        <v>5.9496666666666602</v>
      </c>
      <c r="R55" s="3">
        <f>1.25*Sheet1!R55</f>
        <v>11.173124999999999</v>
      </c>
      <c r="S55" s="3">
        <f>1.5*Sheet1!S55</f>
        <v>10.063499999999999</v>
      </c>
      <c r="T55" s="3">
        <f>1.5*Sheet1!T55</f>
        <v>11.14899999999999</v>
      </c>
      <c r="U55" s="3">
        <f>0.75*Sheet1!U55</f>
        <v>0.90712499999999996</v>
      </c>
      <c r="V55" s="3">
        <f>0.75*Sheet1!V55</f>
        <v>3.9421874999999922</v>
      </c>
      <c r="W55" s="3">
        <f>0.75*Sheet1!W55</f>
        <v>0.893625</v>
      </c>
      <c r="Y55" s="3">
        <f>1.25*Sheet1!Y55</f>
        <v>1.8943750000000001</v>
      </c>
      <c r="Z55" s="3">
        <f>0.5*Sheet1!Z55</f>
        <v>3.4332500000000001</v>
      </c>
      <c r="AA55" s="3">
        <f>0.5*Sheet1!AA55</f>
        <v>1.3927499999999999</v>
      </c>
      <c r="AB55" s="3">
        <f>0.5*Sheet1!AB55</f>
        <v>1.9171249999999951</v>
      </c>
      <c r="AD55" s="3">
        <f t="shared" si="0"/>
        <v>113.37368749999993</v>
      </c>
    </row>
    <row r="56" spans="1:30" s="3" customFormat="1" ht="16" x14ac:dyDescent="0.2">
      <c r="A56" s="2">
        <v>264</v>
      </c>
      <c r="B56" s="2" t="s">
        <v>83</v>
      </c>
      <c r="C56" s="2" t="s">
        <v>84</v>
      </c>
      <c r="D56" s="2" t="s">
        <v>26</v>
      </c>
      <c r="F56" s="3">
        <f>0.75*Sheet1!F56</f>
        <v>6.6825000000000001</v>
      </c>
      <c r="G56" s="3">
        <f>1.25*Sheet1!G56</f>
        <v>8.9924999999999873</v>
      </c>
      <c r="H56" s="3">
        <f>1.25*Sheet1!H56</f>
        <v>9.9918749999999878</v>
      </c>
      <c r="J56" s="3">
        <f>1.25*Sheet1!J56</f>
        <v>9.9918749999999878</v>
      </c>
      <c r="K56" s="3">
        <f>1.25*Sheet1!K56</f>
        <v>5.5662500000000001</v>
      </c>
      <c r="L56" s="3">
        <f>1.25*Sheet1!L56</f>
        <v>2.21875</v>
      </c>
      <c r="M56" s="3">
        <f>1.5*Sheet1!M56</f>
        <v>3.3547500000000001</v>
      </c>
      <c r="N56" s="3">
        <f>1.25*Sheet1!N56</f>
        <v>7.1504166666666622</v>
      </c>
      <c r="O56" s="3">
        <f>1.5*Sheet1!O56</f>
        <v>11.931750000000001</v>
      </c>
      <c r="Q56" s="3">
        <f>1*Sheet1!Q56</f>
        <v>5.7203333333333299</v>
      </c>
      <c r="R56" s="3">
        <f>1.25*Sheet1!R56</f>
        <v>9.9431250000000002</v>
      </c>
      <c r="S56" s="3">
        <f>1.5*Sheet1!S56</f>
        <v>12.986250000000002</v>
      </c>
      <c r="T56" s="3">
        <f>1.5*Sheet1!T56</f>
        <v>10.899000000000001</v>
      </c>
      <c r="U56" s="3">
        <f>0.75*Sheet1!U56</f>
        <v>2.4082499999999998</v>
      </c>
      <c r="V56" s="3">
        <f>0.75*Sheet1!V56</f>
        <v>5.4986250000000005</v>
      </c>
      <c r="W56" s="3">
        <f>0.75*Sheet1!W56</f>
        <v>1.5209999999999924</v>
      </c>
      <c r="Y56" s="3">
        <f>1.25*Sheet1!Y56</f>
        <v>6.2918750000000001</v>
      </c>
      <c r="Z56" s="3">
        <f>0.5*Sheet1!Z56</f>
        <v>2.4972500000000002</v>
      </c>
      <c r="AA56" s="3">
        <f>0.5*Sheet1!AA56</f>
        <v>2.4045000000000001</v>
      </c>
      <c r="AB56" s="3">
        <f>0.5*Sheet1!AB56</f>
        <v>2.415</v>
      </c>
      <c r="AD56" s="3">
        <f t="shared" si="0"/>
        <v>128.46587499999993</v>
      </c>
    </row>
    <row r="57" spans="1:30" s="3" customFormat="1" ht="16" x14ac:dyDescent="0.2">
      <c r="A57" s="2">
        <v>104</v>
      </c>
      <c r="B57" s="2" t="s">
        <v>85</v>
      </c>
      <c r="C57" s="2" t="s">
        <v>86</v>
      </c>
      <c r="D57" s="2" t="s">
        <v>6</v>
      </c>
      <c r="F57" s="3">
        <f>0.75*Sheet1!F57</f>
        <v>6.8167499999999919</v>
      </c>
      <c r="G57" s="3">
        <f>1.25*Sheet1!G57</f>
        <v>9.5099999999999874</v>
      </c>
      <c r="H57" s="3">
        <f>1.25*Sheet1!H57</f>
        <v>0.625</v>
      </c>
      <c r="J57" s="3">
        <f>1.25*Sheet1!J57</f>
        <v>0.625</v>
      </c>
      <c r="K57" s="3">
        <f>1.25*Sheet1!K57</f>
        <v>1.8718750000000002</v>
      </c>
      <c r="L57" s="3">
        <f>1.25*Sheet1!L57</f>
        <v>0</v>
      </c>
      <c r="M57" s="3">
        <f>1.5*Sheet1!M57</f>
        <v>3.8242500000000001</v>
      </c>
      <c r="N57" s="3">
        <f>1.25*Sheet1!N57</f>
        <v>2.0541666666666627</v>
      </c>
      <c r="O57" s="3">
        <f>1.5*Sheet1!O57</f>
        <v>13.139249999999999</v>
      </c>
      <c r="Q57" s="3">
        <f>1*Sheet1!Q57</f>
        <v>1.64333333333333</v>
      </c>
      <c r="R57" s="3">
        <f>1.25*Sheet1!R57</f>
        <v>10.949375</v>
      </c>
      <c r="S57" s="3">
        <f>1.5*Sheet1!S57</f>
        <v>12.95025</v>
      </c>
      <c r="T57" s="3">
        <f>1.5*Sheet1!T57</f>
        <v>10.499499999999991</v>
      </c>
      <c r="U57" s="3">
        <f>0.75*Sheet1!U57</f>
        <v>0</v>
      </c>
      <c r="V57" s="3">
        <f>0.75*Sheet1!V57</f>
        <v>2.8966875000000001</v>
      </c>
      <c r="W57" s="3">
        <f>0.75*Sheet1!W57</f>
        <v>1.4392499999999999</v>
      </c>
      <c r="Y57" s="3">
        <f>1.25*Sheet1!Y57</f>
        <v>2.1287500000000001</v>
      </c>
      <c r="Z57" s="3">
        <f>0.5*Sheet1!Z57</f>
        <v>1.0349999999999999</v>
      </c>
      <c r="AA57" s="3">
        <f>0.5*Sheet1!AA57</f>
        <v>2.51125</v>
      </c>
      <c r="AB57" s="3">
        <f>0.5*Sheet1!AB57</f>
        <v>0</v>
      </c>
      <c r="AD57" s="3">
        <f t="shared" si="0"/>
        <v>84.519687499999961</v>
      </c>
    </row>
    <row r="58" spans="1:30" s="3" customFormat="1" ht="16" x14ac:dyDescent="0.2">
      <c r="A58" s="2">
        <v>173</v>
      </c>
      <c r="B58" s="2" t="s">
        <v>87</v>
      </c>
      <c r="C58" s="2" t="s">
        <v>88</v>
      </c>
      <c r="D58" s="2" t="s">
        <v>26</v>
      </c>
      <c r="F58" s="3">
        <f>0.75*Sheet1!F58</f>
        <v>6.4732500000000002</v>
      </c>
      <c r="G58" s="3">
        <f>1.25*Sheet1!G58</f>
        <v>7.8762500000000006</v>
      </c>
      <c r="H58" s="3">
        <f>1.25*Sheet1!H58</f>
        <v>9.3849999999999874</v>
      </c>
      <c r="J58" s="3">
        <f>1.25*Sheet1!J58</f>
        <v>9.3849999999999874</v>
      </c>
      <c r="K58" s="3">
        <f>1.25*Sheet1!K58</f>
        <v>4.25875</v>
      </c>
      <c r="L58" s="3">
        <f>1.25*Sheet1!L58</f>
        <v>0</v>
      </c>
      <c r="M58" s="3">
        <f>1.5*Sheet1!M58</f>
        <v>4.4932499999999997</v>
      </c>
      <c r="N58" s="3">
        <f>1.25*Sheet1!N58</f>
        <v>9.2983333333333249</v>
      </c>
      <c r="O58" s="3">
        <f>1.5*Sheet1!O58</f>
        <v>11.25825</v>
      </c>
      <c r="Q58" s="3">
        <f>1*Sheet1!Q58</f>
        <v>7.4386666666666601</v>
      </c>
      <c r="R58" s="3">
        <f>1.25*Sheet1!R58</f>
        <v>9.3818749999999991</v>
      </c>
      <c r="S58" s="3">
        <f>1.5*Sheet1!S58</f>
        <v>12.153749999999999</v>
      </c>
      <c r="T58" s="3">
        <f>1.5*Sheet1!T58</f>
        <v>10.137999999999991</v>
      </c>
      <c r="U58" s="3">
        <f>0.75*Sheet1!U58</f>
        <v>1.8562500000000002</v>
      </c>
      <c r="V58" s="3">
        <f>0.75*Sheet1!V58</f>
        <v>2.7539999999999925</v>
      </c>
      <c r="W58" s="3">
        <f>0.75*Sheet1!W58</f>
        <v>1.2044999999999926</v>
      </c>
      <c r="Y58" s="3">
        <f>1.25*Sheet1!Y58</f>
        <v>3.3181250000000002</v>
      </c>
      <c r="Z58" s="3">
        <f>0.5*Sheet1!Z58</f>
        <v>3.4744999999999999</v>
      </c>
      <c r="AA58" s="3">
        <f>0.5*Sheet1!AA58</f>
        <v>0.88774999999999504</v>
      </c>
      <c r="AB58" s="3">
        <f>0.5*Sheet1!AB58</f>
        <v>2.745625</v>
      </c>
      <c r="AD58" s="3">
        <f t="shared" si="0"/>
        <v>117.78112499999993</v>
      </c>
    </row>
    <row r="59" spans="1:30" s="3" customFormat="1" ht="16" x14ac:dyDescent="0.2">
      <c r="A59" s="2">
        <v>42</v>
      </c>
      <c r="B59" s="2" t="s">
        <v>89</v>
      </c>
      <c r="C59" s="2" t="s">
        <v>90</v>
      </c>
      <c r="D59" s="2" t="s">
        <v>26</v>
      </c>
      <c r="F59" s="3">
        <f>0.75*Sheet1!F59</f>
        <v>6.2467500000000005</v>
      </c>
      <c r="G59" s="3">
        <f>1.25*Sheet1!G59</f>
        <v>9.9074999999999882</v>
      </c>
      <c r="H59" s="3">
        <f>1.25*Sheet1!H59</f>
        <v>7.4168749999999868</v>
      </c>
      <c r="J59" s="3">
        <f>1.25*Sheet1!J59</f>
        <v>7.4168749999999868</v>
      </c>
      <c r="K59" s="3">
        <f>1.25*Sheet1!K59</f>
        <v>3.6443750000000001</v>
      </c>
      <c r="L59" s="3">
        <f>1.25*Sheet1!L59</f>
        <v>0</v>
      </c>
      <c r="M59" s="3">
        <f>1.5*Sheet1!M59</f>
        <v>6.5670000000000002</v>
      </c>
      <c r="N59" s="3">
        <f>1.25*Sheet1!N59</f>
        <v>7.7658333333333252</v>
      </c>
      <c r="O59" s="3">
        <f>1.5*Sheet1!O59</f>
        <v>12.0825</v>
      </c>
      <c r="Q59" s="3">
        <f>1*Sheet1!Q59</f>
        <v>6.2126666666666601</v>
      </c>
      <c r="R59" s="3">
        <f>1.25*Sheet1!R59</f>
        <v>10.06875</v>
      </c>
      <c r="S59" s="3">
        <f>1.5*Sheet1!S59</f>
        <v>12.84825</v>
      </c>
      <c r="T59" s="3">
        <f>1.5*Sheet1!T59</f>
        <v>12.144999999999991</v>
      </c>
      <c r="U59" s="3">
        <f>0.75*Sheet1!U59</f>
        <v>3.1698749999999998</v>
      </c>
      <c r="V59" s="3">
        <f>0.75*Sheet1!V59</f>
        <v>4.5414374999999998</v>
      </c>
      <c r="W59" s="3">
        <f>0.75*Sheet1!W59</f>
        <v>1.95075</v>
      </c>
      <c r="Y59" s="3">
        <f>1.25*Sheet1!Y59</f>
        <v>8.7756249999999998</v>
      </c>
      <c r="Z59" s="3">
        <f>0.5*Sheet1!Z59</f>
        <v>2.67625</v>
      </c>
      <c r="AA59" s="3">
        <f>0.5*Sheet1!AA59</f>
        <v>1.847</v>
      </c>
      <c r="AB59" s="3">
        <f>0.5*Sheet1!AB59</f>
        <v>2.9136249999999948</v>
      </c>
      <c r="AD59" s="3">
        <f t="shared" si="0"/>
        <v>128.19693749999993</v>
      </c>
    </row>
    <row r="60" spans="1:30" s="3" customFormat="1" ht="16" x14ac:dyDescent="0.2">
      <c r="A60" s="2">
        <v>195</v>
      </c>
      <c r="B60" s="2" t="s">
        <v>91</v>
      </c>
      <c r="C60" s="2" t="s">
        <v>90</v>
      </c>
      <c r="D60" s="2" t="s">
        <v>26</v>
      </c>
      <c r="F60" s="3">
        <f>0.75*Sheet1!F60</f>
        <v>5.5728749999999998</v>
      </c>
      <c r="G60" s="3">
        <f>1.25*Sheet1!G60</f>
        <v>9.4612499999999997</v>
      </c>
      <c r="H60" s="3">
        <f>1.25*Sheet1!H60</f>
        <v>7.4168749999999868</v>
      </c>
      <c r="J60" s="3">
        <f>1.25*Sheet1!J60</f>
        <v>7.4168749999999868</v>
      </c>
      <c r="K60" s="3">
        <f>1.25*Sheet1!K60</f>
        <v>7.2243749999999993</v>
      </c>
      <c r="L60" s="3">
        <f>1.25*Sheet1!L60</f>
        <v>2.8774999999999999</v>
      </c>
      <c r="M60" s="3">
        <f>1.5*Sheet1!M60</f>
        <v>6.5670000000000002</v>
      </c>
      <c r="N60" s="3">
        <f>1.25*Sheet1!N60</f>
        <v>7.7658333333333252</v>
      </c>
      <c r="O60" s="3">
        <f>1.5*Sheet1!O60</f>
        <v>12.297749999999999</v>
      </c>
      <c r="Q60" s="3">
        <f>1*Sheet1!Q60</f>
        <v>6.2126666666666601</v>
      </c>
      <c r="R60" s="3">
        <f>1.25*Sheet1!R60</f>
        <v>10.248124999999998</v>
      </c>
      <c r="S60" s="3">
        <f>1.5*Sheet1!S60</f>
        <v>12.989249999999998</v>
      </c>
      <c r="T60" s="3">
        <f>1.5*Sheet1!T60</f>
        <v>11.821499999999984</v>
      </c>
      <c r="U60" s="3">
        <f>0.75*Sheet1!U60</f>
        <v>3.1785000000000005</v>
      </c>
      <c r="V60" s="3">
        <f>0.75*Sheet1!V60</f>
        <v>5.2606874999999995</v>
      </c>
      <c r="W60" s="3">
        <f>0.75*Sheet1!W60</f>
        <v>4.1111249999999995</v>
      </c>
      <c r="Y60" s="3">
        <f>1.25*Sheet1!Y60</f>
        <v>7.6131249999999993</v>
      </c>
      <c r="Z60" s="3">
        <f>0.5*Sheet1!Z60</f>
        <v>4.2322499999999996</v>
      </c>
      <c r="AA60" s="3">
        <f>0.5*Sheet1!AA60</f>
        <v>2.4504999999999999</v>
      </c>
      <c r="AB60" s="3">
        <f>0.5*Sheet1!AB60</f>
        <v>2.9232499999999999</v>
      </c>
      <c r="AD60" s="3">
        <f t="shared" si="0"/>
        <v>137.64131249999994</v>
      </c>
    </row>
    <row r="61" spans="1:30" s="3" customFormat="1" ht="16" x14ac:dyDescent="0.2">
      <c r="A61" s="2">
        <v>0</v>
      </c>
      <c r="B61" s="2" t="s">
        <v>92</v>
      </c>
      <c r="C61" s="2" t="s">
        <v>93</v>
      </c>
      <c r="D61" s="2" t="s">
        <v>26</v>
      </c>
      <c r="F61" s="3">
        <f>0.75*Sheet1!F61</f>
        <v>4.5986250000000002</v>
      </c>
      <c r="G61" s="3">
        <f>1.25*Sheet1!G61</f>
        <v>5.0187499999999998</v>
      </c>
      <c r="H61" s="3">
        <f>1.25*Sheet1!H61</f>
        <v>6.3349999999999991</v>
      </c>
      <c r="J61" s="3">
        <f>1.25*Sheet1!J61</f>
        <v>6.3349999999999991</v>
      </c>
      <c r="K61" s="3">
        <f>1.25*Sheet1!K61</f>
        <v>3.5337499999999999</v>
      </c>
      <c r="L61" s="3">
        <f>1.25*Sheet1!L61</f>
        <v>3.1399999999999872</v>
      </c>
      <c r="M61" s="3">
        <f>1.5*Sheet1!M61</f>
        <v>7.3297499999999998</v>
      </c>
      <c r="N61" s="3">
        <f>1.25*Sheet1!N61</f>
        <v>12.424999999999999</v>
      </c>
      <c r="O61" s="3">
        <f>1.5*Sheet1!O61</f>
        <v>14.607749999999999</v>
      </c>
      <c r="Q61" s="3">
        <f>1*Sheet1!Q61</f>
        <v>9.94</v>
      </c>
      <c r="R61" s="3">
        <f>1.25*Sheet1!R61</f>
        <v>12.173125000000001</v>
      </c>
      <c r="S61" s="3">
        <f>1.5*Sheet1!S61</f>
        <v>14.42475</v>
      </c>
      <c r="T61" s="3">
        <f>1.5*Sheet1!T61</f>
        <v>13.056499999999996</v>
      </c>
      <c r="U61" s="3">
        <f>0.75*Sheet1!U61</f>
        <v>4.0248749999999998</v>
      </c>
      <c r="V61" s="3">
        <f>0.75*Sheet1!V61</f>
        <v>5.7247500000000002</v>
      </c>
      <c r="W61" s="3">
        <f>0.75*Sheet1!W61</f>
        <v>2.6520000000000001</v>
      </c>
      <c r="Y61" s="3">
        <f>1.25*Sheet1!Y61</f>
        <v>10.466249999999999</v>
      </c>
      <c r="Z61" s="3">
        <f>0.5*Sheet1!Z61</f>
        <v>1.5934999999999999</v>
      </c>
      <c r="AA61" s="3">
        <f>0.5*Sheet1!AA61</f>
        <v>2.0649999999999999</v>
      </c>
      <c r="AB61" s="3">
        <f>0.5*Sheet1!AB61</f>
        <v>3.155875</v>
      </c>
      <c r="AD61" s="3">
        <f t="shared" si="0"/>
        <v>142.60024999999999</v>
      </c>
    </row>
    <row r="62" spans="1:30" s="3" customFormat="1" ht="16" x14ac:dyDescent="0.2">
      <c r="A62" s="2">
        <v>69</v>
      </c>
      <c r="B62" s="2" t="s">
        <v>94</v>
      </c>
      <c r="C62" s="2" t="s">
        <v>93</v>
      </c>
      <c r="D62" s="2" t="s">
        <v>26</v>
      </c>
      <c r="F62" s="3">
        <f>0.75*Sheet1!F62</f>
        <v>3.1702500000000002</v>
      </c>
      <c r="G62" s="3">
        <f>1.25*Sheet1!G62</f>
        <v>4.2825000000000006</v>
      </c>
      <c r="H62" s="3">
        <f>1.25*Sheet1!H62</f>
        <v>6.3349999999999991</v>
      </c>
      <c r="J62" s="3">
        <f>1.25*Sheet1!J62</f>
        <v>6.3349999999999991</v>
      </c>
      <c r="K62" s="3">
        <f>1.25*Sheet1!K62</f>
        <v>7.7587499999999876</v>
      </c>
      <c r="L62" s="3">
        <f>1.25*Sheet1!L62</f>
        <v>5.5837499999999993</v>
      </c>
      <c r="M62" s="3">
        <f>1.5*Sheet1!M62</f>
        <v>7.3297499999999998</v>
      </c>
      <c r="N62" s="3">
        <f>1.25*Sheet1!N62</f>
        <v>12.424999999999999</v>
      </c>
      <c r="O62" s="3">
        <f>1.5*Sheet1!O62</f>
        <v>13.643249999999998</v>
      </c>
      <c r="Q62" s="3">
        <f>1*Sheet1!Q62</f>
        <v>9.94</v>
      </c>
      <c r="R62" s="3">
        <f>1.25*Sheet1!R62</f>
        <v>11.369375</v>
      </c>
      <c r="S62" s="3">
        <f>1.5*Sheet1!S62</f>
        <v>13.72875</v>
      </c>
      <c r="T62" s="3">
        <f>1.5*Sheet1!T62</f>
        <v>11.977999999999994</v>
      </c>
      <c r="U62" s="3">
        <f>0.75*Sheet1!U62</f>
        <v>3.9757500000000001</v>
      </c>
      <c r="V62" s="3">
        <f>0.75*Sheet1!V62</f>
        <v>6.2041874999999997</v>
      </c>
      <c r="W62" s="3">
        <f>0.75*Sheet1!W62</f>
        <v>4.7249999999999996</v>
      </c>
      <c r="Y62" s="3">
        <f>1.25*Sheet1!Y62</f>
        <v>9.0493749999999995</v>
      </c>
      <c r="Z62" s="3">
        <f>0.5*Sheet1!Z62</f>
        <v>3.5314999999999999</v>
      </c>
      <c r="AA62" s="3">
        <f>0.5*Sheet1!AA62</f>
        <v>2.3355000000000001</v>
      </c>
      <c r="AB62" s="3">
        <f>0.5*Sheet1!AB62</f>
        <v>3.1477499999999998</v>
      </c>
      <c r="AD62" s="3">
        <f t="shared" si="0"/>
        <v>146.84843749999999</v>
      </c>
    </row>
    <row r="63" spans="1:30" s="3" customFormat="1" ht="32" x14ac:dyDescent="0.2">
      <c r="A63" s="2">
        <v>259</v>
      </c>
      <c r="B63" s="2" t="s">
        <v>95</v>
      </c>
      <c r="C63" s="2" t="s">
        <v>96</v>
      </c>
      <c r="D63" s="2" t="s">
        <v>6</v>
      </c>
      <c r="F63" s="3">
        <f>0.75*Sheet1!F63</f>
        <v>0.90787499999999999</v>
      </c>
      <c r="G63" s="3">
        <f>1.25*Sheet1!G63</f>
        <v>4.4937499999999879</v>
      </c>
      <c r="H63" s="3">
        <f>1.25*Sheet1!H63</f>
        <v>5.0775000000000006</v>
      </c>
      <c r="J63" s="3">
        <f>1.25*Sheet1!J63</f>
        <v>5.0775000000000006</v>
      </c>
      <c r="K63" s="3">
        <f>1.25*Sheet1!K63</f>
        <v>10.967499999999999</v>
      </c>
      <c r="L63" s="3">
        <f>1.25*Sheet1!L63</f>
        <v>10.069999999999999</v>
      </c>
      <c r="M63" s="3">
        <f>1.5*Sheet1!M63</f>
        <v>9.7717500000000008</v>
      </c>
      <c r="N63" s="3">
        <f>1.25*Sheet1!N63</f>
        <v>10.838749999999999</v>
      </c>
      <c r="O63" s="3">
        <f>1.5*Sheet1!O63</f>
        <v>9.8242499999999993</v>
      </c>
      <c r="Q63" s="3">
        <f>1*Sheet1!Q63</f>
        <v>8.6709999999999994</v>
      </c>
      <c r="R63" s="3">
        <f>1.25*Sheet1!R63</f>
        <v>8.1868750000000006</v>
      </c>
      <c r="S63" s="3">
        <f>1.5*Sheet1!S63</f>
        <v>3.2872500000000002</v>
      </c>
      <c r="T63" s="3">
        <f>1.5*Sheet1!T63</f>
        <v>9.3869999999999862</v>
      </c>
      <c r="U63" s="3">
        <f>0.75*Sheet1!U63</f>
        <v>4.476375</v>
      </c>
      <c r="V63" s="3">
        <f>0.75*Sheet1!V63</f>
        <v>5.2453124999999918</v>
      </c>
      <c r="W63" s="3">
        <f>0.75*Sheet1!W63</f>
        <v>3.3787500000000001</v>
      </c>
      <c r="Y63" s="3">
        <f>1.25*Sheet1!Y63</f>
        <v>4.7818749999999994</v>
      </c>
      <c r="Z63" s="3">
        <f>0.5*Sheet1!Z63</f>
        <v>5</v>
      </c>
      <c r="AA63" s="3">
        <f>0.5*Sheet1!AA63</f>
        <v>2.5117499999999948</v>
      </c>
      <c r="AB63" s="3">
        <f>0.5*Sheet1!AB63</f>
        <v>2.2284999999999999</v>
      </c>
      <c r="AD63" s="3">
        <f t="shared" si="0"/>
        <v>124.18356249999997</v>
      </c>
    </row>
    <row r="64" spans="1:30" s="3" customFormat="1" ht="32" x14ac:dyDescent="0.2">
      <c r="A64" s="2">
        <v>218</v>
      </c>
      <c r="B64" s="2" t="s">
        <v>97</v>
      </c>
      <c r="C64" s="2" t="s">
        <v>98</v>
      </c>
      <c r="D64" s="2" t="s">
        <v>6</v>
      </c>
      <c r="F64" s="3">
        <f>0.75*Sheet1!F64</f>
        <v>6.9667499999999993</v>
      </c>
      <c r="G64" s="3">
        <f>1.25*Sheet1!G64</f>
        <v>10.095000000000001</v>
      </c>
      <c r="H64" s="3">
        <f>1.25*Sheet1!H64</f>
        <v>7.21</v>
      </c>
      <c r="J64" s="3">
        <f>1.25*Sheet1!J64</f>
        <v>7.21</v>
      </c>
      <c r="K64" s="3">
        <f>1.25*Sheet1!K64</f>
        <v>2.7843749999999874</v>
      </c>
      <c r="L64" s="3">
        <f>1.25*Sheet1!L64</f>
        <v>0</v>
      </c>
      <c r="M64" s="3">
        <f>1.5*Sheet1!M64</f>
        <v>9.1702499999999993</v>
      </c>
      <c r="N64" s="3">
        <f>1.25*Sheet1!N64</f>
        <v>5.516249999999987</v>
      </c>
      <c r="O64" s="3">
        <f>1.5*Sheet1!O64</f>
        <v>7.6642499999999991</v>
      </c>
      <c r="Q64" s="3">
        <f>1*Sheet1!Q64</f>
        <v>4.4129999999999896</v>
      </c>
      <c r="R64" s="3">
        <f>1.25*Sheet1!R64</f>
        <v>6.3868749999999999</v>
      </c>
      <c r="S64" s="3">
        <f>1.5*Sheet1!S64</f>
        <v>8.6684999999999999</v>
      </c>
      <c r="T64" s="3">
        <f>1.5*Sheet1!T64</f>
        <v>7.5389999999999997</v>
      </c>
      <c r="U64" s="3">
        <f>0.75*Sheet1!U64</f>
        <v>0.375</v>
      </c>
      <c r="V64" s="3">
        <f>0.75*Sheet1!V64</f>
        <v>1.7853750000000002</v>
      </c>
      <c r="W64" s="3">
        <f>0.75*Sheet1!W64</f>
        <v>0.75224999999999986</v>
      </c>
      <c r="Y64" s="3">
        <f>1.25*Sheet1!Y64</f>
        <v>5.2762500000000001</v>
      </c>
      <c r="Z64" s="3">
        <f>0.5*Sheet1!Z64</f>
        <v>2.89825</v>
      </c>
      <c r="AA64" s="3">
        <f>0.5*Sheet1!AA64</f>
        <v>1.70875</v>
      </c>
      <c r="AB64" s="3">
        <f>0.5*Sheet1!AB64</f>
        <v>2.2826249999999999</v>
      </c>
      <c r="AD64" s="3">
        <f t="shared" si="0"/>
        <v>98.702749999999952</v>
      </c>
    </row>
    <row r="65" spans="1:30" s="3" customFormat="1" ht="16" x14ac:dyDescent="0.2">
      <c r="A65" s="2">
        <v>198</v>
      </c>
      <c r="B65" s="2" t="s">
        <v>99</v>
      </c>
      <c r="C65" s="2" t="s">
        <v>100</v>
      </c>
      <c r="D65" s="2" t="s">
        <v>11</v>
      </c>
      <c r="F65" s="3">
        <f>0.75*Sheet1!F65</f>
        <v>6.7623750000000005</v>
      </c>
      <c r="G65" s="3">
        <f>1.25*Sheet1!G65</f>
        <v>9.7774999999999999</v>
      </c>
      <c r="H65" s="3">
        <f>1.25*Sheet1!H65</f>
        <v>9.3924999999999876</v>
      </c>
      <c r="J65" s="3">
        <f>1.25*Sheet1!J65</f>
        <v>9.3924999999999876</v>
      </c>
      <c r="K65" s="3">
        <f>1.25*Sheet1!K65</f>
        <v>3.5718749999999999</v>
      </c>
      <c r="L65" s="3">
        <f>1.25*Sheet1!L65</f>
        <v>0</v>
      </c>
      <c r="M65" s="3">
        <f>1.5*Sheet1!M65</f>
        <v>5.8282499999999997</v>
      </c>
      <c r="N65" s="3">
        <f>1.25*Sheet1!N65</f>
        <v>3.7766666666666628</v>
      </c>
      <c r="O65" s="3">
        <f>1.5*Sheet1!O65</f>
        <v>13.239749999999987</v>
      </c>
      <c r="Q65" s="3">
        <f>1*Sheet1!Q65</f>
        <v>3.0213333333333301</v>
      </c>
      <c r="R65" s="3">
        <f>1.25*Sheet1!R65</f>
        <v>11.033124999999988</v>
      </c>
      <c r="S65" s="3">
        <f>1.5*Sheet1!S65</f>
        <v>10.453499999999984</v>
      </c>
      <c r="T65" s="3">
        <f>1.5*Sheet1!T65</f>
        <v>9.6094999999999953</v>
      </c>
      <c r="U65" s="3">
        <f>0.75*Sheet1!U65</f>
        <v>0</v>
      </c>
      <c r="V65" s="3">
        <f>0.75*Sheet1!V65</f>
        <v>3.1321874999999997</v>
      </c>
      <c r="W65" s="3">
        <f>0.75*Sheet1!W65</f>
        <v>0.66749999999999998</v>
      </c>
      <c r="Y65" s="3">
        <f>1.25*Sheet1!Y65</f>
        <v>4.3518749999999997</v>
      </c>
      <c r="Z65" s="3">
        <f>0.5*Sheet1!Z65</f>
        <v>2.4007499999999999</v>
      </c>
      <c r="AA65" s="3">
        <f>0.5*Sheet1!AA65</f>
        <v>2.7499999999999951</v>
      </c>
      <c r="AB65" s="3">
        <f>0.5*Sheet1!AB65</f>
        <v>2.394625</v>
      </c>
      <c r="AD65" s="3">
        <f t="shared" si="0"/>
        <v>111.55581249999994</v>
      </c>
    </row>
    <row r="66" spans="1:30" s="3" customFormat="1" ht="16" x14ac:dyDescent="0.2">
      <c r="A66" s="2">
        <v>48</v>
      </c>
      <c r="B66" s="2" t="s">
        <v>101</v>
      </c>
      <c r="C66" s="2" t="s">
        <v>102</v>
      </c>
      <c r="D66" s="2" t="s">
        <v>103</v>
      </c>
      <c r="F66" s="3">
        <f>0.75*Sheet1!F66</f>
        <v>7.5</v>
      </c>
      <c r="G66" s="3">
        <f>1.25*Sheet1!G66</f>
        <v>12.5</v>
      </c>
      <c r="H66" s="3">
        <f>1.25*Sheet1!H66</f>
        <v>6.3762499999999998</v>
      </c>
      <c r="J66" s="3">
        <f>1.25*Sheet1!J66</f>
        <v>6.3762499999999998</v>
      </c>
      <c r="K66" s="3">
        <f>1.25*Sheet1!K66</f>
        <v>6.3731249999999999</v>
      </c>
      <c r="L66" s="3">
        <f>1.25*Sheet1!L66</f>
        <v>3.6975000000000002</v>
      </c>
      <c r="M66" s="3">
        <f>1.5*Sheet1!M66</f>
        <v>4.4670000000000005</v>
      </c>
      <c r="N66" s="3">
        <f>1.25*Sheet1!N66</f>
        <v>7.2383333333333253</v>
      </c>
      <c r="O66" s="3">
        <f>1.5*Sheet1!O66</f>
        <v>3.9749999999999996</v>
      </c>
      <c r="Q66" s="3">
        <f>1*Sheet1!Q66</f>
        <v>5.7906666666666604</v>
      </c>
      <c r="R66" s="3">
        <f>1.25*Sheet1!R66</f>
        <v>3.3125</v>
      </c>
      <c r="S66" s="3">
        <f>1.5*Sheet1!S66</f>
        <v>10.186500000000001</v>
      </c>
      <c r="T66" s="3">
        <f>1.5*Sheet1!T66</f>
        <v>6.0614999999999846</v>
      </c>
      <c r="U66" s="3">
        <f>0.75*Sheet1!U66</f>
        <v>0.375</v>
      </c>
      <c r="V66" s="3">
        <f>0.75*Sheet1!V66</f>
        <v>0.86662499999999998</v>
      </c>
      <c r="W66" s="3">
        <f>0.75*Sheet1!W66</f>
        <v>2.8181249999999998</v>
      </c>
      <c r="Y66" s="3">
        <f>1.25*Sheet1!Y66</f>
        <v>3.0062499999999996</v>
      </c>
      <c r="Z66" s="3">
        <f>0.5*Sheet1!Z66</f>
        <v>3.0927500000000001</v>
      </c>
      <c r="AA66" s="3">
        <f>0.5*Sheet1!AA66</f>
        <v>0.25</v>
      </c>
      <c r="AB66" s="3">
        <f>0.5*Sheet1!AB66</f>
        <v>1.995125</v>
      </c>
      <c r="AD66" s="3">
        <f t="shared" si="0"/>
        <v>96.258499999999941</v>
      </c>
    </row>
    <row r="67" spans="1:30" s="3" customFormat="1" ht="16" x14ac:dyDescent="0.2">
      <c r="A67" s="2">
        <v>216</v>
      </c>
      <c r="B67" s="2" t="s">
        <v>104</v>
      </c>
      <c r="C67" s="2" t="s">
        <v>105</v>
      </c>
      <c r="D67" s="2" t="s">
        <v>6</v>
      </c>
      <c r="F67" s="3">
        <f>0.75*Sheet1!F67</f>
        <v>6.6011250000000006</v>
      </c>
      <c r="G67" s="3">
        <f>1.25*Sheet1!G67</f>
        <v>9.6787499999999866</v>
      </c>
      <c r="H67" s="3">
        <f>1.25*Sheet1!H67</f>
        <v>6.9068750000000003</v>
      </c>
      <c r="J67" s="3">
        <f>1.25*Sheet1!J67</f>
        <v>6.9068750000000003</v>
      </c>
      <c r="K67" s="3">
        <f>1.25*Sheet1!K67</f>
        <v>2.0874999999999999</v>
      </c>
      <c r="L67" s="3">
        <f>1.25*Sheet1!L67</f>
        <v>0</v>
      </c>
      <c r="M67" s="3">
        <f>1.5*Sheet1!M67</f>
        <v>3.9884999999999997</v>
      </c>
      <c r="N67" s="3">
        <f>1.25*Sheet1!N67</f>
        <v>5.8266666666666627</v>
      </c>
      <c r="O67" s="3">
        <f>1.5*Sheet1!O67</f>
        <v>9.1912499999999842</v>
      </c>
      <c r="Q67" s="3">
        <f>1*Sheet1!Q67</f>
        <v>4.6613333333333298</v>
      </c>
      <c r="R67" s="3">
        <f>1.25*Sheet1!R67</f>
        <v>7.6593749999999874</v>
      </c>
      <c r="S67" s="3">
        <f>1.5*Sheet1!S67</f>
        <v>8.1037499999999998</v>
      </c>
      <c r="T67" s="3">
        <f>1.5*Sheet1!T67</f>
        <v>8.3379999999999903</v>
      </c>
      <c r="U67" s="3">
        <f>0.75*Sheet1!U67</f>
        <v>0</v>
      </c>
      <c r="V67" s="3">
        <f>0.75*Sheet1!V67</f>
        <v>0.75056250000000002</v>
      </c>
      <c r="W67" s="3">
        <f>0.75*Sheet1!W67</f>
        <v>0.79462500000000014</v>
      </c>
      <c r="Y67" s="3">
        <f>1.25*Sheet1!Y67</f>
        <v>2.2887499999999998</v>
      </c>
      <c r="Z67" s="3">
        <f>0.5*Sheet1!Z67</f>
        <v>2.4292499999999948</v>
      </c>
      <c r="AA67" s="3">
        <f>0.5*Sheet1!AA67</f>
        <v>0.95874999999999999</v>
      </c>
      <c r="AB67" s="3">
        <f>0.5*Sheet1!AB67</f>
        <v>2.3427500000000001</v>
      </c>
      <c r="AD67" s="3">
        <f t="shared" si="0"/>
        <v>89.514687499999923</v>
      </c>
    </row>
    <row r="68" spans="1:30" s="3" customFormat="1" ht="16" x14ac:dyDescent="0.2">
      <c r="A68" s="2">
        <v>234</v>
      </c>
      <c r="B68" s="2" t="s">
        <v>106</v>
      </c>
      <c r="C68" s="2" t="s">
        <v>107</v>
      </c>
      <c r="D68" s="2" t="s">
        <v>26</v>
      </c>
      <c r="F68" s="3">
        <f>0.75*Sheet1!F68</f>
        <v>6.282375</v>
      </c>
      <c r="G68" s="3">
        <f>1.25*Sheet1!G68</f>
        <v>8.6637500000000003</v>
      </c>
      <c r="H68" s="3">
        <f>1.25*Sheet1!H68</f>
        <v>6.6762500000000005</v>
      </c>
      <c r="J68" s="3">
        <f>1.25*Sheet1!J68</f>
        <v>6.6762500000000005</v>
      </c>
      <c r="K68" s="3">
        <f>1.25*Sheet1!K68</f>
        <v>6.6950000000000003</v>
      </c>
      <c r="L68" s="3">
        <f>1.25*Sheet1!L68</f>
        <v>7.2862499999999999</v>
      </c>
      <c r="M68" s="3">
        <f>1.5*Sheet1!M68</f>
        <v>6.2774999999999999</v>
      </c>
      <c r="N68" s="3">
        <f>1.25*Sheet1!N68</f>
        <v>10.161666666666662</v>
      </c>
      <c r="O68" s="3">
        <f>1.5*Sheet1!O68</f>
        <v>11.75775</v>
      </c>
      <c r="Q68" s="3">
        <f>1*Sheet1!Q68</f>
        <v>8.1293333333333297</v>
      </c>
      <c r="R68" s="3">
        <f>1.25*Sheet1!R68</f>
        <v>9.7981249999999989</v>
      </c>
      <c r="S68" s="3">
        <f>1.5*Sheet1!S68</f>
        <v>14.138249999999999</v>
      </c>
      <c r="T68" s="3">
        <f>1.5*Sheet1!T68</f>
        <v>11.049499999999995</v>
      </c>
      <c r="U68" s="3">
        <f>0.75*Sheet1!U68</f>
        <v>4.0162499999999923</v>
      </c>
      <c r="V68" s="3">
        <f>0.75*Sheet1!V68</f>
        <v>5.8691250000000004</v>
      </c>
      <c r="W68" s="3">
        <f>0.75*Sheet1!W68</f>
        <v>1.4778749999999925</v>
      </c>
      <c r="Y68" s="3">
        <f>1.25*Sheet1!Y68</f>
        <v>6.5024999999999995</v>
      </c>
      <c r="Z68" s="3">
        <f>0.5*Sheet1!Z68</f>
        <v>3.5117500000000001</v>
      </c>
      <c r="AA68" s="3">
        <f>0.5*Sheet1!AA68</f>
        <v>2.2677499999999999</v>
      </c>
      <c r="AB68" s="3">
        <f>0.5*Sheet1!AB68</f>
        <v>2.9662500000000001</v>
      </c>
      <c r="AD68" s="3">
        <f t="shared" si="0"/>
        <v>140.20350000000002</v>
      </c>
    </row>
    <row r="69" spans="1:30" s="3" customFormat="1" ht="16" x14ac:dyDescent="0.2">
      <c r="A69" s="2">
        <v>237</v>
      </c>
      <c r="B69" s="2" t="s">
        <v>108</v>
      </c>
      <c r="C69" s="2" t="s">
        <v>107</v>
      </c>
      <c r="D69" s="2" t="s">
        <v>26</v>
      </c>
      <c r="F69" s="3">
        <f>0.75*Sheet1!F69</f>
        <v>6.7207500000000007</v>
      </c>
      <c r="G69" s="3">
        <f>1.25*Sheet1!G69</f>
        <v>9.3375000000000004</v>
      </c>
      <c r="H69" s="3">
        <f>1.25*Sheet1!H69</f>
        <v>6.6762500000000005</v>
      </c>
      <c r="J69" s="3">
        <f>1.25*Sheet1!J69</f>
        <v>6.6762500000000005</v>
      </c>
      <c r="K69" s="3">
        <f>1.25*Sheet1!K69</f>
        <v>3.4725000000000001</v>
      </c>
      <c r="L69" s="3">
        <f>1.25*Sheet1!L69</f>
        <v>0</v>
      </c>
      <c r="M69" s="3">
        <f>1.5*Sheet1!M69</f>
        <v>6.2774999999999999</v>
      </c>
      <c r="N69" s="3">
        <f>1.25*Sheet1!N69</f>
        <v>10.161666666666662</v>
      </c>
      <c r="O69" s="3">
        <f>1.5*Sheet1!O69</f>
        <v>11.224499999999999</v>
      </c>
      <c r="Q69" s="3">
        <f>1*Sheet1!Q69</f>
        <v>8.1293333333333297</v>
      </c>
      <c r="R69" s="3">
        <f>1.25*Sheet1!R69</f>
        <v>9.3537499999999998</v>
      </c>
      <c r="S69" s="3">
        <f>1.5*Sheet1!S69</f>
        <v>14.06475</v>
      </c>
      <c r="T69" s="3">
        <f>1.5*Sheet1!T69</f>
        <v>12.592499999999999</v>
      </c>
      <c r="U69" s="3">
        <f>0.75*Sheet1!U69</f>
        <v>4.0526249999999999</v>
      </c>
      <c r="V69" s="3">
        <f>0.75*Sheet1!V69</f>
        <v>7.0620000000000003</v>
      </c>
      <c r="W69" s="3">
        <f>0.75*Sheet1!W69</f>
        <v>1.0605</v>
      </c>
      <c r="Y69" s="3">
        <f>1.25*Sheet1!Y69</f>
        <v>5.375624999999987</v>
      </c>
      <c r="Z69" s="3">
        <f>0.5*Sheet1!Z69</f>
        <v>2.0405000000000002</v>
      </c>
      <c r="AA69" s="3">
        <f>0.5*Sheet1!AA69</f>
        <v>1.7494999999999949</v>
      </c>
      <c r="AB69" s="3">
        <f>0.5*Sheet1!AB69</f>
        <v>3.2204999999999999</v>
      </c>
      <c r="AD69" s="3">
        <f t="shared" si="0"/>
        <v>129.24849999999998</v>
      </c>
    </row>
    <row r="70" spans="1:30" s="3" customFormat="1" ht="16" x14ac:dyDescent="0.2">
      <c r="A70" s="2">
        <v>105</v>
      </c>
      <c r="B70" s="2" t="s">
        <v>109</v>
      </c>
      <c r="C70" s="2" t="s">
        <v>110</v>
      </c>
      <c r="D70" s="2" t="s">
        <v>26</v>
      </c>
      <c r="F70" s="3">
        <f>0.75*Sheet1!F70</f>
        <v>4.0469999999999997</v>
      </c>
      <c r="G70" s="3">
        <f>1.25*Sheet1!G70</f>
        <v>5.151250000000001</v>
      </c>
      <c r="H70" s="3">
        <f>1.25*Sheet1!H70</f>
        <v>6.0981249999999996</v>
      </c>
      <c r="J70" s="3">
        <f>1.25*Sheet1!J70</f>
        <v>6.0981249999999996</v>
      </c>
      <c r="K70" s="3">
        <f>1.25*Sheet1!K70</f>
        <v>7.1037499999999998</v>
      </c>
      <c r="L70" s="3">
        <f>1.25*Sheet1!L70</f>
        <v>6.8837499999999991</v>
      </c>
      <c r="M70" s="3">
        <f>1.5*Sheet1!M70</f>
        <v>5.8815</v>
      </c>
      <c r="N70" s="3">
        <f>1.25*Sheet1!N70</f>
        <v>11.813333333333325</v>
      </c>
      <c r="O70" s="3">
        <f>1.5*Sheet1!O70</f>
        <v>11.25225</v>
      </c>
      <c r="Q70" s="3">
        <f>1*Sheet1!Q70</f>
        <v>9.4506666666666597</v>
      </c>
      <c r="R70" s="3">
        <f>1.25*Sheet1!R70</f>
        <v>9.3768750000000001</v>
      </c>
      <c r="S70" s="3">
        <f>1.5*Sheet1!S70</f>
        <v>13.010999999999999</v>
      </c>
      <c r="T70" s="3">
        <f>1.5*Sheet1!T70</f>
        <v>11.93049999999999</v>
      </c>
      <c r="U70" s="3">
        <f>0.75*Sheet1!U70</f>
        <v>4.0908749999999925</v>
      </c>
      <c r="V70" s="3">
        <f>0.75*Sheet1!V70</f>
        <v>6.9757499999999997</v>
      </c>
      <c r="W70" s="3">
        <f>0.75*Sheet1!W70</f>
        <v>3.562875</v>
      </c>
      <c r="Y70" s="3">
        <f>1.25*Sheet1!Y70</f>
        <v>6.3793749999999871</v>
      </c>
      <c r="Z70" s="3">
        <f>0.5*Sheet1!Z70</f>
        <v>3.52725</v>
      </c>
      <c r="AA70" s="3">
        <f>0.5*Sheet1!AA70</f>
        <v>2.3989999999999951</v>
      </c>
      <c r="AB70" s="3">
        <f>0.5*Sheet1!AB70</f>
        <v>2.8896250000000001</v>
      </c>
      <c r="AD70" s="3">
        <f t="shared" ref="AD70:AD133" si="1">SUM(F70:AB70)</f>
        <v>137.92287499999998</v>
      </c>
    </row>
    <row r="71" spans="1:30" s="3" customFormat="1" ht="16" x14ac:dyDescent="0.2">
      <c r="A71" s="2">
        <v>180</v>
      </c>
      <c r="B71" s="2" t="s">
        <v>111</v>
      </c>
      <c r="C71" s="2" t="s">
        <v>110</v>
      </c>
      <c r="D71" s="2" t="s">
        <v>26</v>
      </c>
      <c r="F71" s="3">
        <f>0.75*Sheet1!F71</f>
        <v>2.8083749999999998</v>
      </c>
      <c r="G71" s="3">
        <f>1.25*Sheet1!G71</f>
        <v>0</v>
      </c>
      <c r="H71" s="3">
        <f>1.25*Sheet1!H71</f>
        <v>6.0981249999999996</v>
      </c>
      <c r="J71" s="3">
        <f>1.25*Sheet1!J71</f>
        <v>6.0981249999999996</v>
      </c>
      <c r="K71" s="3">
        <f>1.25*Sheet1!K71</f>
        <v>2.8918749999999998</v>
      </c>
      <c r="L71" s="3">
        <f>1.25*Sheet1!L71</f>
        <v>3.21875</v>
      </c>
      <c r="M71" s="3">
        <f>1.5*Sheet1!M71</f>
        <v>5.8815</v>
      </c>
      <c r="N71" s="3">
        <f>1.25*Sheet1!N71</f>
        <v>11.813333333333325</v>
      </c>
      <c r="O71" s="3">
        <f>1.5*Sheet1!O71</f>
        <v>12.493500000000001</v>
      </c>
      <c r="Q71" s="3">
        <f>1*Sheet1!Q71</f>
        <v>9.4506666666666597</v>
      </c>
      <c r="R71" s="3">
        <f>1.25*Sheet1!R71</f>
        <v>10.411250000000001</v>
      </c>
      <c r="S71" s="3">
        <f>1.5*Sheet1!S71</f>
        <v>12.687750000000001</v>
      </c>
      <c r="T71" s="3">
        <f>1.5*Sheet1!T71</f>
        <v>11.551999999999994</v>
      </c>
      <c r="U71" s="3">
        <f>0.75*Sheet1!U71</f>
        <v>4.0908749999999925</v>
      </c>
      <c r="V71" s="3">
        <f>0.75*Sheet1!V71</f>
        <v>6.6997499999999999</v>
      </c>
      <c r="W71" s="3">
        <f>0.75*Sheet1!W71</f>
        <v>2.0369999999999999</v>
      </c>
      <c r="Y71" s="3">
        <f>1.25*Sheet1!Y71</f>
        <v>7.1537499999999881</v>
      </c>
      <c r="Z71" s="3">
        <f>0.5*Sheet1!Z71</f>
        <v>1.0029999999999999</v>
      </c>
      <c r="AA71" s="3">
        <f>0.5*Sheet1!AA71</f>
        <v>2.536</v>
      </c>
      <c r="AB71" s="3">
        <f>0.5*Sheet1!AB71</f>
        <v>3.020375</v>
      </c>
      <c r="AD71" s="3">
        <f t="shared" si="1"/>
        <v>121.94599999999996</v>
      </c>
    </row>
    <row r="72" spans="1:30" s="3" customFormat="1" ht="16" x14ac:dyDescent="0.2">
      <c r="A72" s="2">
        <v>236</v>
      </c>
      <c r="B72" s="2" t="s">
        <v>112</v>
      </c>
      <c r="C72" s="2" t="s">
        <v>110</v>
      </c>
      <c r="D72" s="2" t="s">
        <v>26</v>
      </c>
      <c r="F72" s="3">
        <f>0.75*Sheet1!F72</f>
        <v>5.202</v>
      </c>
      <c r="G72" s="3">
        <f>1.25*Sheet1!G72</f>
        <v>5.7774999999999999</v>
      </c>
      <c r="H72" s="3">
        <f>1.25*Sheet1!H72</f>
        <v>6.0981249999999996</v>
      </c>
      <c r="J72" s="3">
        <f>1.25*Sheet1!J72</f>
        <v>6.0981249999999996</v>
      </c>
      <c r="K72" s="3">
        <f>1.25*Sheet1!K72</f>
        <v>3.2574999999999998</v>
      </c>
      <c r="L72" s="3">
        <f>1.25*Sheet1!L72</f>
        <v>3.1862499999999998</v>
      </c>
      <c r="M72" s="3">
        <f>1.5*Sheet1!M72</f>
        <v>5.8815</v>
      </c>
      <c r="N72" s="3">
        <f>1.25*Sheet1!N72</f>
        <v>11.813333333333325</v>
      </c>
      <c r="O72" s="3">
        <f>1.5*Sheet1!O72</f>
        <v>12.435749999999999</v>
      </c>
      <c r="Q72" s="3">
        <f>1*Sheet1!Q72</f>
        <v>9.4506666666666597</v>
      </c>
      <c r="R72" s="3">
        <f>1.25*Sheet1!R72</f>
        <v>10.363125</v>
      </c>
      <c r="S72" s="3">
        <f>1.5*Sheet1!S72</f>
        <v>13.0335</v>
      </c>
      <c r="T72" s="3">
        <f>1.5*Sheet1!T72</f>
        <v>12.474499999999994</v>
      </c>
      <c r="U72" s="3">
        <f>0.75*Sheet1!U72</f>
        <v>4.0421250000000004</v>
      </c>
      <c r="V72" s="3">
        <f>0.75*Sheet1!V72</f>
        <v>6.6915000000000004</v>
      </c>
      <c r="W72" s="3">
        <f>0.75*Sheet1!W72</f>
        <v>2.1360000000000001</v>
      </c>
      <c r="Y72" s="3">
        <f>1.25*Sheet1!Y72</f>
        <v>7.24</v>
      </c>
      <c r="Z72" s="3">
        <f>0.5*Sheet1!Z72</f>
        <v>2.0935000000000001</v>
      </c>
      <c r="AA72" s="3">
        <f>0.5*Sheet1!AA72</f>
        <v>2.2854999999999999</v>
      </c>
      <c r="AB72" s="3">
        <f>0.5*Sheet1!AB72</f>
        <v>3.17475</v>
      </c>
      <c r="AD72" s="3">
        <f t="shared" si="1"/>
        <v>132.73524999999998</v>
      </c>
    </row>
    <row r="73" spans="1:30" s="3" customFormat="1" ht="16" x14ac:dyDescent="0.2">
      <c r="A73" s="2">
        <v>249</v>
      </c>
      <c r="B73" s="2" t="s">
        <v>113</v>
      </c>
      <c r="C73" s="2" t="s">
        <v>110</v>
      </c>
      <c r="D73" s="2" t="s">
        <v>26</v>
      </c>
      <c r="F73" s="3">
        <f>0.75*Sheet1!F73</f>
        <v>5.6505000000000001</v>
      </c>
      <c r="G73" s="3">
        <f>1.25*Sheet1!G73</f>
        <v>6.3375000000000004</v>
      </c>
      <c r="H73" s="3">
        <f>1.25*Sheet1!H73</f>
        <v>6.0981249999999996</v>
      </c>
      <c r="J73" s="3">
        <f>1.25*Sheet1!J73</f>
        <v>6.0981249999999996</v>
      </c>
      <c r="K73" s="3">
        <f>1.25*Sheet1!K73</f>
        <v>2.3493749999999998</v>
      </c>
      <c r="L73" s="3">
        <f>1.25*Sheet1!L73</f>
        <v>2.2162500000000001</v>
      </c>
      <c r="M73" s="3">
        <f>1.5*Sheet1!M73</f>
        <v>5.8815</v>
      </c>
      <c r="N73" s="3">
        <f>1.25*Sheet1!N73</f>
        <v>11.813333333333325</v>
      </c>
      <c r="O73" s="3">
        <f>1.5*Sheet1!O73</f>
        <v>11.627249999999986</v>
      </c>
      <c r="Q73" s="3">
        <f>1*Sheet1!Q73</f>
        <v>9.4506666666666597</v>
      </c>
      <c r="R73" s="3">
        <f>1.25*Sheet1!R73</f>
        <v>9.6893749999999876</v>
      </c>
      <c r="S73" s="3">
        <f>1.5*Sheet1!S73</f>
        <v>13.763249999999999</v>
      </c>
      <c r="T73" s="3">
        <f>1.5*Sheet1!T73</f>
        <v>13.06899999999999</v>
      </c>
      <c r="U73" s="3">
        <f>0.75*Sheet1!U73</f>
        <v>4.010624999999993</v>
      </c>
      <c r="V73" s="3">
        <f>0.75*Sheet1!V73</f>
        <v>6.8285624999999994</v>
      </c>
      <c r="W73" s="3">
        <f>0.75*Sheet1!W73</f>
        <v>2.4180000000000001</v>
      </c>
      <c r="Y73" s="3">
        <f>1.25*Sheet1!Y73</f>
        <v>8.3531250000000004</v>
      </c>
      <c r="Z73" s="3">
        <f>0.5*Sheet1!Z73</f>
        <v>2.5487500000000001</v>
      </c>
      <c r="AA73" s="3">
        <f>0.5*Sheet1!AA73</f>
        <v>2.2687499999999998</v>
      </c>
      <c r="AB73" s="3">
        <f>0.5*Sheet1!AB73</f>
        <v>3.3642499999999949</v>
      </c>
      <c r="AD73" s="3">
        <f t="shared" si="1"/>
        <v>133.83631249999996</v>
      </c>
    </row>
    <row r="74" spans="1:30" s="3" customFormat="1" ht="16" x14ac:dyDescent="0.2">
      <c r="A74" s="2">
        <v>114</v>
      </c>
      <c r="B74" s="2" t="s">
        <v>114</v>
      </c>
      <c r="C74" s="2" t="s">
        <v>115</v>
      </c>
      <c r="D74" s="2" t="s">
        <v>6</v>
      </c>
      <c r="F74" s="3">
        <f>0.75*Sheet1!F74</f>
        <v>4.8375000000000004</v>
      </c>
      <c r="G74" s="3">
        <f>1.25*Sheet1!G74</f>
        <v>6.6987500000000004</v>
      </c>
      <c r="H74" s="3">
        <f>1.25*Sheet1!H74</f>
        <v>5.9649999999999999</v>
      </c>
      <c r="J74" s="3">
        <f>1.25*Sheet1!J74</f>
        <v>5.9649999999999999</v>
      </c>
      <c r="K74" s="3">
        <f>1.25*Sheet1!K74</f>
        <v>5.4343750000000002</v>
      </c>
      <c r="L74" s="3">
        <f>1.25*Sheet1!L74</f>
        <v>3.1812499999999999</v>
      </c>
      <c r="M74" s="3">
        <f>1.5*Sheet1!M74</f>
        <v>9.7717500000000008</v>
      </c>
      <c r="N74" s="3">
        <f>1.25*Sheet1!N74</f>
        <v>10.838749999999999</v>
      </c>
      <c r="O74" s="3">
        <f>1.5*Sheet1!O74</f>
        <v>8.5177499999999995</v>
      </c>
      <c r="Q74" s="3">
        <f>1*Sheet1!Q74</f>
        <v>8.6709999999999994</v>
      </c>
      <c r="R74" s="3">
        <f>1.25*Sheet1!R74</f>
        <v>7.0981249999999996</v>
      </c>
      <c r="S74" s="3">
        <f>1.5*Sheet1!S74</f>
        <v>5.7382499999999999</v>
      </c>
      <c r="T74" s="3">
        <f>1.5*Sheet1!T74</f>
        <v>9.2985000000000007</v>
      </c>
      <c r="U74" s="3">
        <f>0.75*Sheet1!U74</f>
        <v>2.718375</v>
      </c>
      <c r="V74" s="3">
        <f>0.75*Sheet1!V74</f>
        <v>5.3401875000000008</v>
      </c>
      <c r="W74" s="3">
        <f>0.75*Sheet1!W74</f>
        <v>1.1756249999999924</v>
      </c>
      <c r="Y74" s="3">
        <f>1.25*Sheet1!Y74</f>
        <v>7.6968749999999995</v>
      </c>
      <c r="Z74" s="3">
        <f>0.5*Sheet1!Z74</f>
        <v>2.8272499999999998</v>
      </c>
      <c r="AA74" s="3">
        <f>0.5*Sheet1!AA74</f>
        <v>2.5065</v>
      </c>
      <c r="AB74" s="3">
        <f>0.5*Sheet1!AB74</f>
        <v>0.70287500000000003</v>
      </c>
      <c r="AD74" s="3">
        <f t="shared" si="1"/>
        <v>114.9836875</v>
      </c>
    </row>
    <row r="75" spans="1:30" s="3" customFormat="1" ht="16" x14ac:dyDescent="0.2">
      <c r="A75" s="2">
        <v>156</v>
      </c>
      <c r="B75" s="2" t="s">
        <v>116</v>
      </c>
      <c r="C75" s="2" t="s">
        <v>115</v>
      </c>
      <c r="D75" s="2" t="s">
        <v>6</v>
      </c>
      <c r="F75" s="3">
        <f>0.75*Sheet1!F75</f>
        <v>2.2732499999999924</v>
      </c>
      <c r="G75" s="3">
        <f>1.25*Sheet1!G75</f>
        <v>5.6212499999999999</v>
      </c>
      <c r="H75" s="3">
        <f>1.25*Sheet1!H75</f>
        <v>5.9649999999999999</v>
      </c>
      <c r="J75" s="3">
        <f>1.25*Sheet1!J75</f>
        <v>5.9649999999999999</v>
      </c>
      <c r="K75" s="3">
        <f>1.25*Sheet1!K75</f>
        <v>10.028125000000001</v>
      </c>
      <c r="L75" s="3">
        <f>1.25*Sheet1!L75</f>
        <v>6.3187499999999996</v>
      </c>
      <c r="M75" s="3">
        <f>1.5*Sheet1!M75</f>
        <v>9.7717500000000008</v>
      </c>
      <c r="N75" s="3">
        <f>1.25*Sheet1!N75</f>
        <v>10.838749999999999</v>
      </c>
      <c r="O75" s="3">
        <f>1.5*Sheet1!O75</f>
        <v>9.0652499999999989</v>
      </c>
      <c r="Q75" s="3">
        <f>1*Sheet1!Q75</f>
        <v>8.6709999999999994</v>
      </c>
      <c r="R75" s="3">
        <f>1.25*Sheet1!R75</f>
        <v>7.5543750000000003</v>
      </c>
      <c r="S75" s="3">
        <f>1.5*Sheet1!S75</f>
        <v>6.4814999999999996</v>
      </c>
      <c r="T75" s="3">
        <f>1.5*Sheet1!T75</f>
        <v>9.0465</v>
      </c>
      <c r="U75" s="3">
        <f>0.75*Sheet1!U75</f>
        <v>3.2958749999999997</v>
      </c>
      <c r="V75" s="3">
        <f>0.75*Sheet1!V75</f>
        <v>4.7189999999999994</v>
      </c>
      <c r="W75" s="3">
        <f>0.75*Sheet1!W75</f>
        <v>3.1267499999999995</v>
      </c>
      <c r="Y75" s="3">
        <f>1.25*Sheet1!Y75</f>
        <v>7.2799999999999994</v>
      </c>
      <c r="Z75" s="3">
        <f>0.5*Sheet1!Z75</f>
        <v>3.38375</v>
      </c>
      <c r="AA75" s="3">
        <f>0.5*Sheet1!AA75</f>
        <v>2.69225</v>
      </c>
      <c r="AB75" s="3">
        <f>0.5*Sheet1!AB75</f>
        <v>2.0263749999999998</v>
      </c>
      <c r="AD75" s="3">
        <f t="shared" si="1"/>
        <v>124.12449999999998</v>
      </c>
    </row>
    <row r="76" spans="1:30" s="3" customFormat="1" ht="16" x14ac:dyDescent="0.2">
      <c r="A76" s="2">
        <v>176</v>
      </c>
      <c r="B76" s="2" t="s">
        <v>117</v>
      </c>
      <c r="C76" s="2" t="s">
        <v>115</v>
      </c>
      <c r="D76" s="2" t="s">
        <v>6</v>
      </c>
      <c r="F76" s="3">
        <f>0.75*Sheet1!F76</f>
        <v>4.3338749999999928</v>
      </c>
      <c r="G76" s="3">
        <f>1.25*Sheet1!G76</f>
        <v>6.6049999999999995</v>
      </c>
      <c r="H76" s="3">
        <f>1.25*Sheet1!H76</f>
        <v>5.9649999999999999</v>
      </c>
      <c r="J76" s="3">
        <f>1.25*Sheet1!J76</f>
        <v>5.9649999999999999</v>
      </c>
      <c r="K76" s="3">
        <f>1.25*Sheet1!K76</f>
        <v>8.2468749999999993</v>
      </c>
      <c r="L76" s="3">
        <f>1.25*Sheet1!L76</f>
        <v>3.08</v>
      </c>
      <c r="M76" s="3">
        <f>1.5*Sheet1!M76</f>
        <v>9.7717500000000008</v>
      </c>
      <c r="N76" s="3">
        <f>1.25*Sheet1!N76</f>
        <v>10.838749999999999</v>
      </c>
      <c r="O76" s="3">
        <f>1.5*Sheet1!O76</f>
        <v>8.6760000000000002</v>
      </c>
      <c r="Q76" s="3">
        <f>1*Sheet1!Q76</f>
        <v>8.6709999999999994</v>
      </c>
      <c r="R76" s="3">
        <f>1.25*Sheet1!R76</f>
        <v>7.2299999999999995</v>
      </c>
      <c r="S76" s="3">
        <f>1.5*Sheet1!S76</f>
        <v>6.2010000000000005</v>
      </c>
      <c r="T76" s="3">
        <f>1.5*Sheet1!T76</f>
        <v>8.9509999999999952</v>
      </c>
      <c r="U76" s="3">
        <f>0.75*Sheet1!U76</f>
        <v>2.718375</v>
      </c>
      <c r="V76" s="3">
        <f>0.75*Sheet1!V76</f>
        <v>5.0069999999999997</v>
      </c>
      <c r="W76" s="3">
        <f>0.75*Sheet1!W76</f>
        <v>2.8301249999999927</v>
      </c>
      <c r="Y76" s="3">
        <f>1.25*Sheet1!Y76</f>
        <v>6.1074999999999999</v>
      </c>
      <c r="Z76" s="3">
        <f>0.5*Sheet1!Z76</f>
        <v>2.96475</v>
      </c>
      <c r="AA76" s="3">
        <f>0.5*Sheet1!AA76</f>
        <v>2.2464999999999948</v>
      </c>
      <c r="AB76" s="3">
        <f>0.5*Sheet1!AB76</f>
        <v>2.1693750000000001</v>
      </c>
      <c r="AD76" s="3">
        <f t="shared" si="1"/>
        <v>118.57887499999998</v>
      </c>
    </row>
    <row r="77" spans="1:30" s="3" customFormat="1" ht="32" x14ac:dyDescent="0.2">
      <c r="A77" s="2">
        <v>235</v>
      </c>
      <c r="B77" s="2" t="s">
        <v>118</v>
      </c>
      <c r="C77" s="2" t="s">
        <v>115</v>
      </c>
      <c r="D77" s="2" t="s">
        <v>6</v>
      </c>
      <c r="F77" s="3">
        <f>0.75*Sheet1!F77</f>
        <v>4.2720000000000002</v>
      </c>
      <c r="G77" s="3">
        <f>1.25*Sheet1!G77</f>
        <v>6.5662500000000001</v>
      </c>
      <c r="H77" s="3">
        <f>1.25*Sheet1!H77</f>
        <v>5.9649999999999999</v>
      </c>
      <c r="J77" s="3">
        <f>1.25*Sheet1!J77</f>
        <v>5.9649999999999999</v>
      </c>
      <c r="K77" s="3">
        <f>1.25*Sheet1!K77</f>
        <v>7.9337499999999874</v>
      </c>
      <c r="L77" s="3">
        <f>1.25*Sheet1!L77</f>
        <v>4.7225000000000001</v>
      </c>
      <c r="M77" s="3">
        <f>1.5*Sheet1!M77</f>
        <v>9.7717500000000008</v>
      </c>
      <c r="N77" s="3">
        <f>1.25*Sheet1!N77</f>
        <v>10.838749999999999</v>
      </c>
      <c r="O77" s="3">
        <f>1.5*Sheet1!O77</f>
        <v>8.0400000000000009</v>
      </c>
      <c r="Q77" s="3">
        <f>1*Sheet1!Q77</f>
        <v>8.6709999999999994</v>
      </c>
      <c r="R77" s="3">
        <f>1.25*Sheet1!R77</f>
        <v>6.7</v>
      </c>
      <c r="S77" s="3">
        <f>1.5*Sheet1!S77</f>
        <v>7.0597499999999851</v>
      </c>
      <c r="T77" s="3">
        <f>1.5*Sheet1!T77</f>
        <v>9.8594999999999846</v>
      </c>
      <c r="U77" s="3">
        <f>0.75*Sheet1!U77</f>
        <v>3.210375</v>
      </c>
      <c r="V77" s="3">
        <f>0.75*Sheet1!V77</f>
        <v>5.5340625000000001</v>
      </c>
      <c r="W77" s="3">
        <f>0.75*Sheet1!W77</f>
        <v>2.179125</v>
      </c>
      <c r="Y77" s="3">
        <f>1.25*Sheet1!Y77</f>
        <v>8.9937500000000004</v>
      </c>
      <c r="Z77" s="3">
        <f>0.5*Sheet1!Z77</f>
        <v>3.2169999999999952</v>
      </c>
      <c r="AA77" s="3">
        <f>0.5*Sheet1!AA77</f>
        <v>2.7484999999999999</v>
      </c>
      <c r="AB77" s="3">
        <f>0.5*Sheet1!AB77</f>
        <v>0.70037499999999997</v>
      </c>
      <c r="AD77" s="3">
        <f t="shared" si="1"/>
        <v>122.94843749999994</v>
      </c>
    </row>
    <row r="78" spans="1:30" s="3" customFormat="1" ht="16" x14ac:dyDescent="0.2">
      <c r="A78" s="2">
        <v>34</v>
      </c>
      <c r="B78" s="2" t="s">
        <v>119</v>
      </c>
      <c r="C78" s="2" t="s">
        <v>120</v>
      </c>
      <c r="D78" s="2" t="s">
        <v>26</v>
      </c>
      <c r="F78" s="3">
        <f>0.75*Sheet1!F78</f>
        <v>5.3936250000000001</v>
      </c>
      <c r="G78" s="3">
        <f>1.25*Sheet1!G78</f>
        <v>5.7287499999999998</v>
      </c>
      <c r="H78" s="3">
        <f>1.25*Sheet1!H78</f>
        <v>3.31</v>
      </c>
      <c r="J78" s="3">
        <f>1.25*Sheet1!J78</f>
        <v>3.31</v>
      </c>
      <c r="K78" s="3">
        <f>1.25*Sheet1!K78</f>
        <v>4.6143749999999999</v>
      </c>
      <c r="L78" s="3">
        <f>1.25*Sheet1!L78</f>
        <v>0</v>
      </c>
      <c r="M78" s="3">
        <f>1.5*Sheet1!M78</f>
        <v>6.306750000000001</v>
      </c>
      <c r="N78" s="3">
        <f>1.25*Sheet1!N78</f>
        <v>10.110416666666662</v>
      </c>
      <c r="O78" s="3">
        <f>1.5*Sheet1!O78</f>
        <v>10.689749999999986</v>
      </c>
      <c r="Q78" s="3">
        <f>1*Sheet1!Q78</f>
        <v>8.0883333333333294</v>
      </c>
      <c r="R78" s="3">
        <f>1.25*Sheet1!R78</f>
        <v>8.9081249999999876</v>
      </c>
      <c r="S78" s="3">
        <f>1.5*Sheet1!S78</f>
        <v>11.199</v>
      </c>
      <c r="T78" s="3">
        <f>1.5*Sheet1!T78</f>
        <v>13.234999999999996</v>
      </c>
      <c r="U78" s="3">
        <f>0.75*Sheet1!U78</f>
        <v>3.3315000000000001</v>
      </c>
      <c r="V78" s="3">
        <f>0.75*Sheet1!V78</f>
        <v>5.4457500000000003</v>
      </c>
      <c r="W78" s="3">
        <f>0.75*Sheet1!W78</f>
        <v>3.657</v>
      </c>
      <c r="Y78" s="3">
        <f>1.25*Sheet1!Y78</f>
        <v>4.84375</v>
      </c>
      <c r="Z78" s="3">
        <f>0.5*Sheet1!Z78</f>
        <v>2.6502500000000002</v>
      </c>
      <c r="AA78" s="3">
        <f>0.5*Sheet1!AA78</f>
        <v>1.437749999999995</v>
      </c>
      <c r="AB78" s="3">
        <f>0.5*Sheet1!AB78</f>
        <v>2.7748749999999949</v>
      </c>
      <c r="AD78" s="3">
        <f t="shared" si="1"/>
        <v>115.03499999999997</v>
      </c>
    </row>
    <row r="79" spans="1:30" s="3" customFormat="1" ht="16" x14ac:dyDescent="0.2">
      <c r="A79" s="2">
        <v>98</v>
      </c>
      <c r="B79" s="2" t="s">
        <v>121</v>
      </c>
      <c r="C79" s="2" t="s">
        <v>120</v>
      </c>
      <c r="D79" s="2" t="s">
        <v>26</v>
      </c>
      <c r="F79" s="3">
        <f>0.75*Sheet1!F79</f>
        <v>5.6287500000000001</v>
      </c>
      <c r="G79" s="3">
        <f>1.25*Sheet1!G79</f>
        <v>5.3962500000000002</v>
      </c>
      <c r="H79" s="3">
        <f>1.25*Sheet1!H79</f>
        <v>3.31</v>
      </c>
      <c r="J79" s="3">
        <f>1.25*Sheet1!J79</f>
        <v>3.31</v>
      </c>
      <c r="K79" s="3">
        <f>1.25*Sheet1!K79</f>
        <v>3.42875</v>
      </c>
      <c r="L79" s="3">
        <f>1.25*Sheet1!L79</f>
        <v>2.3149999999999999</v>
      </c>
      <c r="M79" s="3">
        <f>1.5*Sheet1!M79</f>
        <v>6.306750000000001</v>
      </c>
      <c r="N79" s="3">
        <f>1.25*Sheet1!N79</f>
        <v>10.110416666666662</v>
      </c>
      <c r="O79" s="3">
        <f>1.5*Sheet1!O79</f>
        <v>7.5757499999999851</v>
      </c>
      <c r="Q79" s="3">
        <f>1*Sheet1!Q79</f>
        <v>8.0883333333333294</v>
      </c>
      <c r="R79" s="3">
        <f>1.25*Sheet1!R79</f>
        <v>6.313124999999987</v>
      </c>
      <c r="S79" s="3">
        <f>1.5*Sheet1!S79</f>
        <v>8.8312500000000007</v>
      </c>
      <c r="T79" s="3">
        <f>1.5*Sheet1!T79</f>
        <v>13.594499999999986</v>
      </c>
      <c r="U79" s="3">
        <f>0.75*Sheet1!U79</f>
        <v>3.4117500000000005</v>
      </c>
      <c r="V79" s="3">
        <f>0.75*Sheet1!V79</f>
        <v>4.6132499999999999</v>
      </c>
      <c r="W79" s="3">
        <f>0.75*Sheet1!W79</f>
        <v>2.9969999999999999</v>
      </c>
      <c r="Y79" s="3">
        <f>1.25*Sheet1!Y79</f>
        <v>4.6974999999999874</v>
      </c>
      <c r="Z79" s="3">
        <f>0.5*Sheet1!Z79</f>
        <v>1.5892500000000001</v>
      </c>
      <c r="AA79" s="3">
        <f>0.5*Sheet1!AA79</f>
        <v>2.323</v>
      </c>
      <c r="AB79" s="3">
        <f>0.5*Sheet1!AB79</f>
        <v>2.7628750000000002</v>
      </c>
      <c r="AD79" s="3">
        <f t="shared" si="1"/>
        <v>106.60349999999993</v>
      </c>
    </row>
    <row r="80" spans="1:30" s="3" customFormat="1" ht="16" x14ac:dyDescent="0.2">
      <c r="A80" s="2">
        <v>133</v>
      </c>
      <c r="B80" s="2" t="s">
        <v>122</v>
      </c>
      <c r="C80" s="2" t="s">
        <v>120</v>
      </c>
      <c r="D80" s="2" t="s">
        <v>26</v>
      </c>
      <c r="F80" s="3">
        <f>0.75*Sheet1!F80</f>
        <v>5.649</v>
      </c>
      <c r="G80" s="3">
        <f>1.25*Sheet1!G80</f>
        <v>6.7487500000000002</v>
      </c>
      <c r="H80" s="3">
        <f>1.25*Sheet1!H80</f>
        <v>3.31</v>
      </c>
      <c r="J80" s="3">
        <f>1.25*Sheet1!J80</f>
        <v>3.31</v>
      </c>
      <c r="K80" s="3">
        <f>1.25*Sheet1!K80</f>
        <v>4.0731250000000001</v>
      </c>
      <c r="L80" s="3">
        <f>1.25*Sheet1!L80</f>
        <v>2.9762499999999998</v>
      </c>
      <c r="M80" s="3">
        <f>1.5*Sheet1!M80</f>
        <v>6.306750000000001</v>
      </c>
      <c r="N80" s="3">
        <f>1.25*Sheet1!N80</f>
        <v>10.110416666666662</v>
      </c>
      <c r="O80" s="3">
        <f>1.5*Sheet1!O80</f>
        <v>10.804499999999985</v>
      </c>
      <c r="Q80" s="3">
        <f>1*Sheet1!Q80</f>
        <v>8.0883333333333294</v>
      </c>
      <c r="R80" s="3">
        <f>1.25*Sheet1!R80</f>
        <v>9.0037499999999877</v>
      </c>
      <c r="S80" s="3">
        <f>1.5*Sheet1!S80</f>
        <v>10.413</v>
      </c>
      <c r="T80" s="3">
        <f>1.5*Sheet1!T80</f>
        <v>13.6065</v>
      </c>
      <c r="U80" s="3">
        <f>0.75*Sheet1!U80</f>
        <v>3.2951249999999925</v>
      </c>
      <c r="V80" s="3">
        <f>0.75*Sheet1!V80</f>
        <v>3.1796249999999997</v>
      </c>
      <c r="W80" s="3">
        <f>0.75*Sheet1!W80</f>
        <v>4.5149999999999997</v>
      </c>
      <c r="Y80" s="3">
        <f>1.25*Sheet1!Y80</f>
        <v>4.783749999999988</v>
      </c>
      <c r="Z80" s="3">
        <f>0.5*Sheet1!Z80</f>
        <v>2.5547499999999999</v>
      </c>
      <c r="AA80" s="3">
        <f>0.5*Sheet1!AA80</f>
        <v>1.14625</v>
      </c>
      <c r="AB80" s="3">
        <f>0.5*Sheet1!AB80</f>
        <v>1.1468750000000001</v>
      </c>
      <c r="AD80" s="3">
        <f t="shared" si="1"/>
        <v>115.02174999999993</v>
      </c>
    </row>
    <row r="81" spans="1:30" s="3" customFormat="1" ht="16" x14ac:dyDescent="0.2">
      <c r="A81" s="2">
        <v>143</v>
      </c>
      <c r="B81" s="2" t="s">
        <v>123</v>
      </c>
      <c r="C81" s="2" t="s">
        <v>120</v>
      </c>
      <c r="D81" s="2" t="s">
        <v>26</v>
      </c>
      <c r="F81" s="3">
        <f>0.75*Sheet1!F81</f>
        <v>5.0227500000000003</v>
      </c>
      <c r="G81" s="3">
        <f>1.25*Sheet1!G81</f>
        <v>5.4362500000000002</v>
      </c>
      <c r="H81" s="3">
        <f>1.25*Sheet1!H81</f>
        <v>3.31</v>
      </c>
      <c r="J81" s="3">
        <f>1.25*Sheet1!J81</f>
        <v>3.31</v>
      </c>
      <c r="K81" s="3">
        <f>1.25*Sheet1!K81</f>
        <v>5.6243750000000006</v>
      </c>
      <c r="L81" s="3">
        <f>1.25*Sheet1!L81</f>
        <v>3.8537500000000002</v>
      </c>
      <c r="M81" s="3">
        <f>1.5*Sheet1!M81</f>
        <v>6.306750000000001</v>
      </c>
      <c r="N81" s="3">
        <f>1.25*Sheet1!N81</f>
        <v>10.110416666666662</v>
      </c>
      <c r="O81" s="3">
        <f>1.5*Sheet1!O81</f>
        <v>9.775499999999985</v>
      </c>
      <c r="Q81" s="3">
        <f>1*Sheet1!Q81</f>
        <v>8.0883333333333294</v>
      </c>
      <c r="R81" s="3">
        <f>1.25*Sheet1!R81</f>
        <v>8.1462499999999878</v>
      </c>
      <c r="S81" s="3">
        <f>1.5*Sheet1!S81</f>
        <v>10.701749999999986</v>
      </c>
      <c r="T81" s="3">
        <f>1.5*Sheet1!T81</f>
        <v>12.962499999999991</v>
      </c>
      <c r="U81" s="3">
        <f>0.75*Sheet1!U81</f>
        <v>3.4353749999999996</v>
      </c>
      <c r="V81" s="3">
        <f>0.75*Sheet1!V81</f>
        <v>4.9074374999999995</v>
      </c>
      <c r="W81" s="3">
        <f>0.75*Sheet1!W81</f>
        <v>4.4722499999999998</v>
      </c>
      <c r="Y81" s="3">
        <f>1.25*Sheet1!Y81</f>
        <v>11.75375</v>
      </c>
      <c r="Z81" s="3">
        <f>0.5*Sheet1!Z81</f>
        <v>2.9937499999999999</v>
      </c>
      <c r="AA81" s="3">
        <f>0.5*Sheet1!AA81</f>
        <v>2.68675</v>
      </c>
      <c r="AB81" s="3">
        <f>0.5*Sheet1!AB81</f>
        <v>2.592625</v>
      </c>
      <c r="AD81" s="3">
        <f t="shared" si="1"/>
        <v>125.49056249999995</v>
      </c>
    </row>
    <row r="82" spans="1:30" s="3" customFormat="1" ht="16" x14ac:dyDescent="0.2">
      <c r="A82" s="2">
        <v>151</v>
      </c>
      <c r="B82" s="2" t="s">
        <v>124</v>
      </c>
      <c r="C82" s="2" t="s">
        <v>120</v>
      </c>
      <c r="D82" s="2" t="s">
        <v>26</v>
      </c>
      <c r="F82" s="3">
        <f>0.75*Sheet1!F82</f>
        <v>5.6913749999999999</v>
      </c>
      <c r="G82" s="3">
        <f>1.25*Sheet1!G82</f>
        <v>7.5324999999999998</v>
      </c>
      <c r="H82" s="3">
        <f>1.25*Sheet1!H82</f>
        <v>3.31</v>
      </c>
      <c r="J82" s="3">
        <f>1.25*Sheet1!J82</f>
        <v>3.31</v>
      </c>
      <c r="K82" s="3">
        <f>1.25*Sheet1!K82</f>
        <v>4.1368749999999999</v>
      </c>
      <c r="L82" s="3">
        <f>1.25*Sheet1!L82</f>
        <v>3.55375</v>
      </c>
      <c r="M82" s="3">
        <f>1.5*Sheet1!M82</f>
        <v>6.306750000000001</v>
      </c>
      <c r="N82" s="3">
        <f>1.25*Sheet1!N82</f>
        <v>10.110416666666662</v>
      </c>
      <c r="O82" s="3">
        <f>1.5*Sheet1!O82</f>
        <v>9.2602499999999992</v>
      </c>
      <c r="Q82" s="3">
        <f>1*Sheet1!Q82</f>
        <v>8.0883333333333294</v>
      </c>
      <c r="R82" s="3">
        <f>1.25*Sheet1!R82</f>
        <v>7.7168749999999999</v>
      </c>
      <c r="S82" s="3">
        <f>1.5*Sheet1!S82</f>
        <v>7.8780000000000001</v>
      </c>
      <c r="T82" s="3">
        <f>1.5*Sheet1!T82</f>
        <v>13.265499999999991</v>
      </c>
      <c r="U82" s="3">
        <f>0.75*Sheet1!U82</f>
        <v>3.3315000000000001</v>
      </c>
      <c r="V82" s="3">
        <f>0.75*Sheet1!V82</f>
        <v>2.9565000000000001</v>
      </c>
      <c r="W82" s="3">
        <f>0.75*Sheet1!W82</f>
        <v>4.4628750000000004</v>
      </c>
      <c r="Y82" s="3">
        <f>1.25*Sheet1!Y82</f>
        <v>6.9281250000000005</v>
      </c>
      <c r="Z82" s="3">
        <f>0.5*Sheet1!Z82</f>
        <v>2.7214999999999998</v>
      </c>
      <c r="AA82" s="3">
        <f>0.5*Sheet1!AA82</f>
        <v>2.5917500000000002</v>
      </c>
      <c r="AB82" s="3">
        <f>0.5*Sheet1!AB82</f>
        <v>2.9303750000000002</v>
      </c>
      <c r="AD82" s="3">
        <f t="shared" si="1"/>
        <v>116.08324999999999</v>
      </c>
    </row>
    <row r="83" spans="1:30" s="3" customFormat="1" ht="16" x14ac:dyDescent="0.2">
      <c r="A83" s="2">
        <v>167</v>
      </c>
      <c r="B83" s="2" t="s">
        <v>125</v>
      </c>
      <c r="C83" s="2" t="s">
        <v>120</v>
      </c>
      <c r="D83" s="2" t="s">
        <v>26</v>
      </c>
      <c r="F83" s="3">
        <f>0.75*Sheet1!F83</f>
        <v>5.7918750000000001</v>
      </c>
      <c r="G83" s="3">
        <f>1.25*Sheet1!G83</f>
        <v>6.2762500000000001</v>
      </c>
      <c r="H83" s="3">
        <f>1.25*Sheet1!H83</f>
        <v>3.31</v>
      </c>
      <c r="J83" s="3">
        <f>1.25*Sheet1!J83</f>
        <v>3.31</v>
      </c>
      <c r="K83" s="3">
        <f>1.25*Sheet1!K83</f>
        <v>4.1912499999999877</v>
      </c>
      <c r="L83" s="3">
        <f>1.25*Sheet1!L83</f>
        <v>2.7875000000000001</v>
      </c>
      <c r="M83" s="3">
        <f>1.5*Sheet1!M83</f>
        <v>6.306750000000001</v>
      </c>
      <c r="N83" s="3">
        <f>1.25*Sheet1!N83</f>
        <v>10.110416666666662</v>
      </c>
      <c r="O83" s="3">
        <f>1.5*Sheet1!O83</f>
        <v>10.58325</v>
      </c>
      <c r="Q83" s="3">
        <f>1*Sheet1!Q83</f>
        <v>8.0883333333333294</v>
      </c>
      <c r="R83" s="3">
        <f>1.25*Sheet1!R83</f>
        <v>8.8193750000000009</v>
      </c>
      <c r="S83" s="3">
        <f>1.5*Sheet1!S83</f>
        <v>11.453250000000001</v>
      </c>
      <c r="T83" s="3">
        <f>1.5*Sheet1!T83</f>
        <v>12.799999999999994</v>
      </c>
      <c r="U83" s="3">
        <f>0.75*Sheet1!U83</f>
        <v>3.303375</v>
      </c>
      <c r="V83" s="3">
        <f>0.75*Sheet1!V83</f>
        <v>5.4922500000000003</v>
      </c>
      <c r="W83" s="3">
        <f>0.75*Sheet1!W83</f>
        <v>3.7417499999999997</v>
      </c>
      <c r="Y83" s="3">
        <f>1.25*Sheet1!Y83</f>
        <v>6.0837500000000002</v>
      </c>
      <c r="Z83" s="3">
        <f>0.5*Sheet1!Z83</f>
        <v>2.1755</v>
      </c>
      <c r="AA83" s="3">
        <f>0.5*Sheet1!AA83</f>
        <v>1.335999999999995</v>
      </c>
      <c r="AB83" s="3">
        <f>0.5*Sheet1!AB83</f>
        <v>2.998875</v>
      </c>
      <c r="AD83" s="3">
        <f t="shared" si="1"/>
        <v>118.95974999999997</v>
      </c>
    </row>
    <row r="84" spans="1:30" s="3" customFormat="1" ht="16" x14ac:dyDescent="0.2">
      <c r="A84" s="2">
        <v>172</v>
      </c>
      <c r="B84" s="2" t="s">
        <v>126</v>
      </c>
      <c r="C84" s="2" t="s">
        <v>120</v>
      </c>
      <c r="D84" s="2" t="s">
        <v>26</v>
      </c>
      <c r="F84" s="3">
        <f>0.75*Sheet1!F84</f>
        <v>4.873875</v>
      </c>
      <c r="G84" s="3">
        <f>1.25*Sheet1!G84</f>
        <v>5.59375</v>
      </c>
      <c r="H84" s="3">
        <f>1.25*Sheet1!H84</f>
        <v>3.31</v>
      </c>
      <c r="J84" s="3">
        <f>1.25*Sheet1!J84</f>
        <v>3.31</v>
      </c>
      <c r="K84" s="3">
        <f>1.25*Sheet1!K84</f>
        <v>3.8718749999999873</v>
      </c>
      <c r="L84" s="3">
        <f>1.25*Sheet1!L84</f>
        <v>3.2537499999999877</v>
      </c>
      <c r="M84" s="3">
        <f>1.5*Sheet1!M84</f>
        <v>6.306750000000001</v>
      </c>
      <c r="N84" s="3">
        <f>1.25*Sheet1!N84</f>
        <v>10.110416666666662</v>
      </c>
      <c r="O84" s="3">
        <f>1.5*Sheet1!O84</f>
        <v>9.7012499999999839</v>
      </c>
      <c r="Q84" s="3">
        <f>1*Sheet1!Q84</f>
        <v>8.0883333333333294</v>
      </c>
      <c r="R84" s="3">
        <f>1.25*Sheet1!R84</f>
        <v>8.0843749999999872</v>
      </c>
      <c r="S84" s="3">
        <f>1.5*Sheet1!S84</f>
        <v>10.850999999999999</v>
      </c>
      <c r="T84" s="3">
        <f>1.5*Sheet1!T84</f>
        <v>12.494499999999988</v>
      </c>
      <c r="U84" s="3">
        <f>0.75*Sheet1!U84</f>
        <v>3.303375</v>
      </c>
      <c r="V84" s="3">
        <f>0.75*Sheet1!V84</f>
        <v>4.8172499999999996</v>
      </c>
      <c r="W84" s="3">
        <f>0.75*Sheet1!W84</f>
        <v>4.8449999999999998</v>
      </c>
      <c r="Y84" s="3">
        <f>1.25*Sheet1!Y84</f>
        <v>8.0899999999999874</v>
      </c>
      <c r="Z84" s="3">
        <f>0.5*Sheet1!Z84</f>
        <v>2.3897499999999998</v>
      </c>
      <c r="AA84" s="3">
        <f>0.5*Sheet1!AA84</f>
        <v>2.7632500000000002</v>
      </c>
      <c r="AB84" s="3">
        <f>0.5*Sheet1!AB84</f>
        <v>3.0255000000000001</v>
      </c>
      <c r="AD84" s="3">
        <f t="shared" si="1"/>
        <v>119.08399999999992</v>
      </c>
    </row>
    <row r="85" spans="1:30" s="3" customFormat="1" ht="16" x14ac:dyDescent="0.2">
      <c r="A85" s="2">
        <v>184</v>
      </c>
      <c r="B85" s="2" t="s">
        <v>127</v>
      </c>
      <c r="C85" s="2" t="s">
        <v>120</v>
      </c>
      <c r="D85" s="2" t="s">
        <v>26</v>
      </c>
      <c r="F85" s="3">
        <f>0.75*Sheet1!F85</f>
        <v>2.6876249999999997</v>
      </c>
      <c r="G85" s="3">
        <f>1.25*Sheet1!G85</f>
        <v>4.58</v>
      </c>
      <c r="H85" s="3">
        <f>1.25*Sheet1!H85</f>
        <v>3.31</v>
      </c>
      <c r="J85" s="3">
        <f>1.25*Sheet1!J85</f>
        <v>3.31</v>
      </c>
      <c r="K85" s="3">
        <f>1.25*Sheet1!K85</f>
        <v>11.595625</v>
      </c>
      <c r="L85" s="3">
        <f>1.25*Sheet1!L85</f>
        <v>9.3912499999999994</v>
      </c>
      <c r="M85" s="3">
        <f>1.5*Sheet1!M85</f>
        <v>6.306750000000001</v>
      </c>
      <c r="N85" s="3">
        <f>1.25*Sheet1!N85</f>
        <v>10.110416666666662</v>
      </c>
      <c r="O85" s="3">
        <f>1.5*Sheet1!O85</f>
        <v>8.3684999999999992</v>
      </c>
      <c r="Q85" s="3">
        <f>1*Sheet1!Q85</f>
        <v>8.0883333333333294</v>
      </c>
      <c r="R85" s="3">
        <f>1.25*Sheet1!R85</f>
        <v>6.9737499999999999</v>
      </c>
      <c r="S85" s="3">
        <f>1.5*Sheet1!S85</f>
        <v>9.3697499999999998</v>
      </c>
      <c r="T85" s="3">
        <f>1.5*Sheet1!T85</f>
        <v>12.311499999999988</v>
      </c>
      <c r="U85" s="3">
        <f>0.75*Sheet1!U85</f>
        <v>5.3137499999999998</v>
      </c>
      <c r="V85" s="3">
        <f>0.75*Sheet1!V85</f>
        <v>3.2716875000000005</v>
      </c>
      <c r="W85" s="3">
        <f>0.75*Sheet1!W85</f>
        <v>7.5</v>
      </c>
      <c r="Y85" s="3">
        <f>1.25*Sheet1!Y85</f>
        <v>12.145</v>
      </c>
      <c r="Z85" s="3">
        <f>0.5*Sheet1!Z85</f>
        <v>4.9082499999999998</v>
      </c>
      <c r="AA85" s="3">
        <f>0.5*Sheet1!AA85</f>
        <v>2.2164999999999999</v>
      </c>
      <c r="AB85" s="3">
        <f>0.5*Sheet1!AB85</f>
        <v>2.6652499999999999</v>
      </c>
      <c r="AD85" s="3">
        <f t="shared" si="1"/>
        <v>134.42393749999994</v>
      </c>
    </row>
    <row r="86" spans="1:30" s="3" customFormat="1" ht="16" x14ac:dyDescent="0.2">
      <c r="A86" s="2">
        <v>246</v>
      </c>
      <c r="B86" s="2" t="s">
        <v>128</v>
      </c>
      <c r="C86" s="2" t="s">
        <v>120</v>
      </c>
      <c r="D86" s="2" t="s">
        <v>26</v>
      </c>
      <c r="F86" s="3">
        <f>0.75*Sheet1!F86</f>
        <v>5.6579999999999995</v>
      </c>
      <c r="G86" s="3">
        <f>1.25*Sheet1!G86</f>
        <v>5.6899999999999995</v>
      </c>
      <c r="H86" s="3">
        <f>1.25*Sheet1!H86</f>
        <v>3.31</v>
      </c>
      <c r="J86" s="3">
        <f>1.25*Sheet1!J86</f>
        <v>3.31</v>
      </c>
      <c r="K86" s="3">
        <f>1.25*Sheet1!K86</f>
        <v>4.4712499999999995</v>
      </c>
      <c r="L86" s="3">
        <f>1.25*Sheet1!L86</f>
        <v>2.5524999999999998</v>
      </c>
      <c r="M86" s="3">
        <f>1.5*Sheet1!M86</f>
        <v>6.306750000000001</v>
      </c>
      <c r="N86" s="3">
        <f>1.25*Sheet1!N86</f>
        <v>10.110416666666662</v>
      </c>
      <c r="O86" s="3">
        <f>1.5*Sheet1!O86</f>
        <v>11.45025</v>
      </c>
      <c r="Q86" s="3">
        <f>1*Sheet1!Q86</f>
        <v>8.0883333333333294</v>
      </c>
      <c r="R86" s="3">
        <f>1.25*Sheet1!R86</f>
        <v>9.5418749999999992</v>
      </c>
      <c r="S86" s="3">
        <f>1.5*Sheet1!S86</f>
        <v>10.4505</v>
      </c>
      <c r="T86" s="3">
        <f>1.5*Sheet1!T86</f>
        <v>13.247999999999985</v>
      </c>
      <c r="U86" s="3">
        <f>0.75*Sheet1!U86</f>
        <v>3.3315000000000001</v>
      </c>
      <c r="V86" s="3">
        <f>0.75*Sheet1!V86</f>
        <v>3.8098124999999996</v>
      </c>
      <c r="W86" s="3">
        <f>0.75*Sheet1!W86</f>
        <v>3.844875</v>
      </c>
      <c r="Y86" s="3">
        <f>1.25*Sheet1!Y86</f>
        <v>5.7774999999999999</v>
      </c>
      <c r="Z86" s="3">
        <f>0.5*Sheet1!Z86</f>
        <v>2.0684999999999998</v>
      </c>
      <c r="AA86" s="3">
        <f>0.5*Sheet1!AA86</f>
        <v>1.6519999999999999</v>
      </c>
      <c r="AB86" s="3">
        <f>0.5*Sheet1!AB86</f>
        <v>2.5338750000000001</v>
      </c>
      <c r="AD86" s="3">
        <f t="shared" si="1"/>
        <v>117.20593749999999</v>
      </c>
    </row>
    <row r="87" spans="1:30" s="3" customFormat="1" ht="16" x14ac:dyDescent="0.2">
      <c r="A87" s="2">
        <v>239</v>
      </c>
      <c r="B87" s="2" t="s">
        <v>129</v>
      </c>
      <c r="C87" s="2" t="s">
        <v>130</v>
      </c>
      <c r="D87" s="2" t="s">
        <v>26</v>
      </c>
      <c r="F87" s="3">
        <f>0.75*Sheet1!F87</f>
        <v>7.1178750000000006</v>
      </c>
      <c r="G87" s="3">
        <f>1.25*Sheet1!G87</f>
        <v>12.206250000000001</v>
      </c>
      <c r="H87" s="3">
        <f>1.25*Sheet1!H87</f>
        <v>10.06875</v>
      </c>
      <c r="J87" s="3">
        <f>1.25*Sheet1!J87</f>
        <v>10.06875</v>
      </c>
      <c r="K87" s="3">
        <f>1.25*Sheet1!K87</f>
        <v>3.9356249999999999</v>
      </c>
      <c r="L87" s="3">
        <f>1.25*Sheet1!L87</f>
        <v>0</v>
      </c>
      <c r="M87" s="3">
        <f>1.5*Sheet1!M87</f>
        <v>6.3787500000000001</v>
      </c>
      <c r="N87" s="3">
        <f>1.25*Sheet1!N87</f>
        <v>9.8291666666666622</v>
      </c>
      <c r="O87" s="3">
        <f>1.5*Sheet1!O87</f>
        <v>12.296249999999983</v>
      </c>
      <c r="Q87" s="3">
        <f>1*Sheet1!Q87</f>
        <v>7.8633333333333297</v>
      </c>
      <c r="R87" s="3">
        <f>1.25*Sheet1!R87</f>
        <v>10.246874999999987</v>
      </c>
      <c r="S87" s="3">
        <f>1.5*Sheet1!S87</f>
        <v>14.259</v>
      </c>
      <c r="T87" s="3">
        <f>1.5*Sheet1!T87</f>
        <v>7.5784999999999947</v>
      </c>
      <c r="U87" s="3">
        <f>0.75*Sheet1!U87</f>
        <v>0.64687500000000009</v>
      </c>
      <c r="V87" s="3">
        <f>0.75*Sheet1!V87</f>
        <v>2.3975624999999923</v>
      </c>
      <c r="W87" s="3">
        <f>0.75*Sheet1!W87</f>
        <v>1.68825</v>
      </c>
      <c r="Y87" s="3">
        <f>1.25*Sheet1!Y87</f>
        <v>5.1087499999999997</v>
      </c>
      <c r="Z87" s="3">
        <f>0.5*Sheet1!Z87</f>
        <v>2.4594999999999998</v>
      </c>
      <c r="AA87" s="3">
        <f>0.5*Sheet1!AA87</f>
        <v>2.73875</v>
      </c>
      <c r="AB87" s="3">
        <f>0.5*Sheet1!AB87</f>
        <v>2.8221250000000002</v>
      </c>
      <c r="AD87" s="3">
        <f t="shared" si="1"/>
        <v>129.71093749999997</v>
      </c>
    </row>
    <row r="88" spans="1:30" s="3" customFormat="1" ht="16" x14ac:dyDescent="0.2">
      <c r="A88" s="2">
        <v>11</v>
      </c>
      <c r="B88" s="2" t="s">
        <v>131</v>
      </c>
      <c r="C88" s="2" t="s">
        <v>130</v>
      </c>
      <c r="D88" s="2" t="s">
        <v>6</v>
      </c>
      <c r="F88" s="3">
        <f>0.75*Sheet1!F88</f>
        <v>3.7316250000000002</v>
      </c>
      <c r="G88" s="3">
        <f>1.25*Sheet1!G88</f>
        <v>6.5512499999999996</v>
      </c>
      <c r="H88" s="3">
        <f>1.25*Sheet1!H88</f>
        <v>5.2549999999999999</v>
      </c>
      <c r="J88" s="3">
        <f>1.25*Sheet1!J88</f>
        <v>5.2549999999999999</v>
      </c>
      <c r="K88" s="3">
        <f>1.25*Sheet1!K88</f>
        <v>11.043750000000001</v>
      </c>
      <c r="L88" s="3">
        <f>1.25*Sheet1!L88</f>
        <v>9.0712499999999991</v>
      </c>
      <c r="M88" s="3">
        <f>1.5*Sheet1!M88</f>
        <v>9.7717500000000008</v>
      </c>
      <c r="N88" s="3">
        <f>1.25*Sheet1!N88</f>
        <v>10.838749999999999</v>
      </c>
      <c r="O88" s="3">
        <f>1.5*Sheet1!O88</f>
        <v>6.093</v>
      </c>
      <c r="Q88" s="3">
        <f>1*Sheet1!Q88</f>
        <v>8.6709999999999994</v>
      </c>
      <c r="R88" s="3">
        <f>1.25*Sheet1!R88</f>
        <v>5.0775000000000006</v>
      </c>
      <c r="S88" s="3">
        <f>1.5*Sheet1!S88</f>
        <v>4.00875</v>
      </c>
      <c r="T88" s="3">
        <f>1.5*Sheet1!T88</f>
        <v>9.0349999999999948</v>
      </c>
      <c r="U88" s="3">
        <f>0.75*Sheet1!U88</f>
        <v>4.8427499999999926</v>
      </c>
      <c r="V88" s="3">
        <f>0.75*Sheet1!V88</f>
        <v>4.363312499999993</v>
      </c>
      <c r="W88" s="3">
        <f>0.75*Sheet1!W88</f>
        <v>3.9686250000000003</v>
      </c>
      <c r="Y88" s="3">
        <f>1.25*Sheet1!Y88</f>
        <v>8.1006250000000009</v>
      </c>
      <c r="Z88" s="3">
        <f>0.5*Sheet1!Z88</f>
        <v>3.8827499999999948</v>
      </c>
      <c r="AA88" s="3">
        <f>0.5*Sheet1!AA88</f>
        <v>2.50475</v>
      </c>
      <c r="AB88" s="3">
        <f>0.5*Sheet1!AB88</f>
        <v>1.9488749999999999</v>
      </c>
      <c r="AD88" s="3">
        <f t="shared" si="1"/>
        <v>124.01531249999999</v>
      </c>
    </row>
    <row r="89" spans="1:30" s="3" customFormat="1" ht="16" x14ac:dyDescent="0.2">
      <c r="A89" s="2">
        <v>26</v>
      </c>
      <c r="B89" s="2" t="s">
        <v>132</v>
      </c>
      <c r="C89" s="2" t="s">
        <v>133</v>
      </c>
      <c r="D89" s="2" t="s">
        <v>26</v>
      </c>
      <c r="F89" s="3">
        <f>0.75*Sheet1!F89</f>
        <v>4.7962499999999997</v>
      </c>
      <c r="G89" s="3">
        <f>1.25*Sheet1!G89</f>
        <v>6.9050000000000002</v>
      </c>
      <c r="H89" s="3">
        <f>1.25*Sheet1!H89</f>
        <v>4.8793749999999871</v>
      </c>
      <c r="J89" s="3">
        <f>1.25*Sheet1!J89</f>
        <v>4.8793749999999871</v>
      </c>
      <c r="K89" s="3">
        <f>1.25*Sheet1!K89</f>
        <v>11.356249999999989</v>
      </c>
      <c r="L89" s="3">
        <f>1.25*Sheet1!L89</f>
        <v>9.7750000000000004</v>
      </c>
      <c r="M89" s="3">
        <f>1.5*Sheet1!M89</f>
        <v>8.0602499999999999</v>
      </c>
      <c r="N89" s="3">
        <f>1.25*Sheet1!N89</f>
        <v>11.340416666666663</v>
      </c>
      <c r="O89" s="3">
        <f>1.5*Sheet1!O89</f>
        <v>10.766249999999985</v>
      </c>
      <c r="Q89" s="3">
        <f>1*Sheet1!Q89</f>
        <v>9.0723333333333294</v>
      </c>
      <c r="R89" s="3">
        <f>1.25*Sheet1!R89</f>
        <v>8.9718749999999883</v>
      </c>
      <c r="S89" s="3">
        <f>1.5*Sheet1!S89</f>
        <v>10.87725</v>
      </c>
      <c r="T89" s="3">
        <f>1.5*Sheet1!T89</f>
        <v>11.98599999999999</v>
      </c>
      <c r="U89" s="3">
        <f>0.75*Sheet1!U89</f>
        <v>5.2642500000000005</v>
      </c>
      <c r="V89" s="3">
        <f>0.75*Sheet1!V89</f>
        <v>5.0786249999999997</v>
      </c>
      <c r="W89" s="3">
        <f>0.75*Sheet1!W89</f>
        <v>5.2687499999999918</v>
      </c>
      <c r="Y89" s="3">
        <f>1.25*Sheet1!Y89</f>
        <v>5.8474999999999877</v>
      </c>
      <c r="Z89" s="3">
        <f>0.5*Sheet1!Z89</f>
        <v>4.4405000000000001</v>
      </c>
      <c r="AA89" s="3">
        <f>0.5*Sheet1!AA89</f>
        <v>2.7374999999999998</v>
      </c>
      <c r="AB89" s="3">
        <f>0.5*Sheet1!AB89</f>
        <v>3.0979999999999999</v>
      </c>
      <c r="AD89" s="3">
        <f t="shared" si="1"/>
        <v>145.4007499999999</v>
      </c>
    </row>
    <row r="90" spans="1:30" s="3" customFormat="1" ht="16" x14ac:dyDescent="0.2">
      <c r="A90" s="2">
        <v>66</v>
      </c>
      <c r="B90" s="2" t="s">
        <v>134</v>
      </c>
      <c r="C90" s="2" t="s">
        <v>133</v>
      </c>
      <c r="D90" s="2" t="s">
        <v>26</v>
      </c>
      <c r="F90" s="3">
        <f>0.75*Sheet1!F90</f>
        <v>4.8948750000000008</v>
      </c>
      <c r="G90" s="3">
        <f>1.25*Sheet1!G90</f>
        <v>7.0087499999999885</v>
      </c>
      <c r="H90" s="3">
        <f>1.25*Sheet1!H90</f>
        <v>4.8793749999999871</v>
      </c>
      <c r="J90" s="3">
        <f>1.25*Sheet1!J90</f>
        <v>4.8793749999999871</v>
      </c>
      <c r="K90" s="3">
        <f>1.25*Sheet1!K90</f>
        <v>6.3831249999999997</v>
      </c>
      <c r="L90" s="3">
        <f>1.25*Sheet1!L90</f>
        <v>4.0975000000000001</v>
      </c>
      <c r="M90" s="3">
        <f>1.5*Sheet1!M90</f>
        <v>8.0602499999999999</v>
      </c>
      <c r="N90" s="3">
        <f>1.25*Sheet1!N90</f>
        <v>11.340416666666663</v>
      </c>
      <c r="O90" s="3">
        <f>1.5*Sheet1!O90</f>
        <v>10.06725</v>
      </c>
      <c r="Q90" s="3">
        <f>1*Sheet1!Q90</f>
        <v>9.0723333333333294</v>
      </c>
      <c r="R90" s="3">
        <f>1.25*Sheet1!R90</f>
        <v>8.3893749999999994</v>
      </c>
      <c r="S90" s="3">
        <f>1.5*Sheet1!S90</f>
        <v>9.9442500000000003</v>
      </c>
      <c r="T90" s="3">
        <f>1.5*Sheet1!T90</f>
        <v>12.059999999999999</v>
      </c>
      <c r="U90" s="3">
        <f>0.75*Sheet1!U90</f>
        <v>3.8276249999999923</v>
      </c>
      <c r="V90" s="3">
        <f>0.75*Sheet1!V90</f>
        <v>4.8600000000000003</v>
      </c>
      <c r="W90" s="3">
        <f>0.75*Sheet1!W90</f>
        <v>5.4615</v>
      </c>
      <c r="Y90" s="3">
        <f>1.25*Sheet1!Y90</f>
        <v>7.0825000000000005</v>
      </c>
      <c r="Z90" s="3">
        <f>0.5*Sheet1!Z90</f>
        <v>2.6612499999999999</v>
      </c>
      <c r="AA90" s="3">
        <f>0.5*Sheet1!AA90</f>
        <v>2.6444999999999999</v>
      </c>
      <c r="AB90" s="3">
        <f>0.5*Sheet1!AB90</f>
        <v>2.6908749999999948</v>
      </c>
      <c r="AD90" s="3">
        <f t="shared" si="1"/>
        <v>130.30512499999992</v>
      </c>
    </row>
    <row r="91" spans="1:30" s="3" customFormat="1" ht="16" x14ac:dyDescent="0.2">
      <c r="A91" s="2">
        <v>79</v>
      </c>
      <c r="B91" s="2" t="s">
        <v>135</v>
      </c>
      <c r="C91" s="2" t="s">
        <v>133</v>
      </c>
      <c r="D91" s="2" t="s">
        <v>26</v>
      </c>
      <c r="F91" s="3">
        <f>0.75*Sheet1!F91</f>
        <v>5.9133750000000003</v>
      </c>
      <c r="G91" s="3">
        <f>1.25*Sheet1!G91</f>
        <v>7.5349999999999993</v>
      </c>
      <c r="H91" s="3">
        <f>1.25*Sheet1!H91</f>
        <v>4.8793749999999871</v>
      </c>
      <c r="J91" s="3">
        <f>1.25*Sheet1!J91</f>
        <v>4.8793749999999871</v>
      </c>
      <c r="K91" s="3">
        <f>1.25*Sheet1!K91</f>
        <v>3.0081249999999997</v>
      </c>
      <c r="L91" s="3">
        <f>1.25*Sheet1!L91</f>
        <v>1.9162499999999998</v>
      </c>
      <c r="M91" s="3">
        <f>1.5*Sheet1!M91</f>
        <v>8.0602499999999999</v>
      </c>
      <c r="N91" s="3">
        <f>1.25*Sheet1!N91</f>
        <v>11.340416666666663</v>
      </c>
      <c r="O91" s="3">
        <f>1.5*Sheet1!O91</f>
        <v>11.0535</v>
      </c>
      <c r="Q91" s="3">
        <f>1*Sheet1!Q91</f>
        <v>9.0723333333333294</v>
      </c>
      <c r="R91" s="3">
        <f>1.25*Sheet1!R91</f>
        <v>9.2112499999999997</v>
      </c>
      <c r="S91" s="3">
        <f>1.5*Sheet1!S91</f>
        <v>12.695999999999984</v>
      </c>
      <c r="T91" s="3">
        <f>1.5*Sheet1!T91</f>
        <v>12.590499999999988</v>
      </c>
      <c r="U91" s="3">
        <f>0.75*Sheet1!U91</f>
        <v>3.843375</v>
      </c>
      <c r="V91" s="3">
        <f>0.75*Sheet1!V91</f>
        <v>6.0830624999999996</v>
      </c>
      <c r="W91" s="3">
        <f>0.75*Sheet1!W91</f>
        <v>2.6520000000000001</v>
      </c>
      <c r="Y91" s="3">
        <f>1.25*Sheet1!Y91</f>
        <v>7.0043750000000005</v>
      </c>
      <c r="Z91" s="3">
        <f>0.5*Sheet1!Z91</f>
        <v>3.3192499999999998</v>
      </c>
      <c r="AA91" s="3">
        <f>0.5*Sheet1!AA91</f>
        <v>2.3245</v>
      </c>
      <c r="AB91" s="3">
        <f>0.5*Sheet1!AB91</f>
        <v>2.4799999999999951</v>
      </c>
      <c r="AD91" s="3">
        <f t="shared" si="1"/>
        <v>129.86231249999992</v>
      </c>
    </row>
    <row r="92" spans="1:30" s="3" customFormat="1" ht="16" x14ac:dyDescent="0.2">
      <c r="A92" s="2">
        <v>82</v>
      </c>
      <c r="B92" s="2" t="s">
        <v>136</v>
      </c>
      <c r="C92" s="2" t="s">
        <v>133</v>
      </c>
      <c r="D92" s="2" t="s">
        <v>26</v>
      </c>
      <c r="F92" s="3">
        <f>0.75*Sheet1!F92</f>
        <v>4.7115</v>
      </c>
      <c r="G92" s="3">
        <f>1.25*Sheet1!G92</f>
        <v>6.4174999999999871</v>
      </c>
      <c r="H92" s="3">
        <f>1.25*Sheet1!H92</f>
        <v>4.8793749999999871</v>
      </c>
      <c r="J92" s="3">
        <f>1.25*Sheet1!J92</f>
        <v>4.8793749999999871</v>
      </c>
      <c r="K92" s="3">
        <f>1.25*Sheet1!K92</f>
        <v>4.2362500000000001</v>
      </c>
      <c r="L92" s="3">
        <f>1.25*Sheet1!L92</f>
        <v>2.7875000000000001</v>
      </c>
      <c r="M92" s="3">
        <f>1.5*Sheet1!M92</f>
        <v>8.0602499999999999</v>
      </c>
      <c r="N92" s="3">
        <f>1.25*Sheet1!N92</f>
        <v>11.340416666666663</v>
      </c>
      <c r="O92" s="3">
        <f>1.5*Sheet1!O92</f>
        <v>11.802749999999985</v>
      </c>
      <c r="Q92" s="3">
        <f>1*Sheet1!Q92</f>
        <v>9.0723333333333294</v>
      </c>
      <c r="R92" s="3">
        <f>1.25*Sheet1!R92</f>
        <v>9.8356249999999878</v>
      </c>
      <c r="S92" s="3">
        <f>1.5*Sheet1!S92</f>
        <v>12.249000000000001</v>
      </c>
      <c r="T92" s="3">
        <f>1.5*Sheet1!T92</f>
        <v>12.005499999999991</v>
      </c>
      <c r="U92" s="3">
        <f>0.75*Sheet1!U92</f>
        <v>3.2298749999999998</v>
      </c>
      <c r="V92" s="3">
        <f>0.75*Sheet1!V92</f>
        <v>5.5316249999999929</v>
      </c>
      <c r="W92" s="3">
        <f>0.75*Sheet1!W92</f>
        <v>5.0021250000000004</v>
      </c>
      <c r="Y92" s="3">
        <f>1.25*Sheet1!Y92</f>
        <v>7.0825000000000005</v>
      </c>
      <c r="Z92" s="3">
        <f>0.5*Sheet1!Z92</f>
        <v>2.3319999999999999</v>
      </c>
      <c r="AA92" s="3">
        <f>0.5*Sheet1!AA92</f>
        <v>2.6792500000000001</v>
      </c>
      <c r="AB92" s="3">
        <f>0.5*Sheet1!AB92</f>
        <v>2.6415000000000002</v>
      </c>
      <c r="AD92" s="3">
        <f t="shared" si="1"/>
        <v>130.77624999999992</v>
      </c>
    </row>
    <row r="93" spans="1:30" s="3" customFormat="1" ht="16" x14ac:dyDescent="0.2">
      <c r="A93" s="2">
        <v>90</v>
      </c>
      <c r="B93" s="2" t="s">
        <v>137</v>
      </c>
      <c r="C93" s="2" t="s">
        <v>133</v>
      </c>
      <c r="D93" s="2" t="s">
        <v>26</v>
      </c>
      <c r="F93" s="3">
        <f>0.75*Sheet1!F93</f>
        <v>4.4677499999999997</v>
      </c>
      <c r="G93" s="3">
        <f>1.25*Sheet1!G93</f>
        <v>6.42875</v>
      </c>
      <c r="H93" s="3">
        <f>1.25*Sheet1!H93</f>
        <v>4.8793749999999871</v>
      </c>
      <c r="J93" s="3">
        <f>1.25*Sheet1!J93</f>
        <v>4.8793749999999871</v>
      </c>
      <c r="K93" s="3">
        <f>1.25*Sheet1!K93</f>
        <v>4.71</v>
      </c>
      <c r="L93" s="3">
        <f>1.25*Sheet1!L93</f>
        <v>4.2487499999999869</v>
      </c>
      <c r="M93" s="3">
        <f>1.5*Sheet1!M93</f>
        <v>8.0602499999999999</v>
      </c>
      <c r="N93" s="3">
        <f>1.25*Sheet1!N93</f>
        <v>11.340416666666663</v>
      </c>
      <c r="O93" s="3">
        <f>1.5*Sheet1!O93</f>
        <v>10.55175</v>
      </c>
      <c r="Q93" s="3">
        <f>1*Sheet1!Q93</f>
        <v>9.0723333333333294</v>
      </c>
      <c r="R93" s="3">
        <f>1.25*Sheet1!R93</f>
        <v>8.7931249999999999</v>
      </c>
      <c r="S93" s="3">
        <f>1.5*Sheet1!S93</f>
        <v>10.256250000000001</v>
      </c>
      <c r="T93" s="3">
        <f>1.5*Sheet1!T93</f>
        <v>11.560999999999995</v>
      </c>
      <c r="U93" s="3">
        <f>0.75*Sheet1!U93</f>
        <v>3.9048750000000001</v>
      </c>
      <c r="V93" s="3">
        <f>0.75*Sheet1!V93</f>
        <v>4.8566250000000002</v>
      </c>
      <c r="W93" s="3">
        <f>0.75*Sheet1!W93</f>
        <v>6.3967499999999999</v>
      </c>
      <c r="Y93" s="3">
        <f>1.25*Sheet1!Y93</f>
        <v>5.0987499999999999</v>
      </c>
      <c r="Z93" s="3">
        <f>0.5*Sheet1!Z93</f>
        <v>3.246</v>
      </c>
      <c r="AA93" s="3">
        <f>0.5*Sheet1!AA93</f>
        <v>2.6920000000000002</v>
      </c>
      <c r="AB93" s="3">
        <f>0.5*Sheet1!AB93</f>
        <v>2.9615</v>
      </c>
      <c r="AD93" s="3">
        <f t="shared" si="1"/>
        <v>128.40562499999993</v>
      </c>
    </row>
    <row r="94" spans="1:30" s="3" customFormat="1" ht="16" x14ac:dyDescent="0.2">
      <c r="A94" s="2">
        <v>102</v>
      </c>
      <c r="B94" s="2" t="s">
        <v>138</v>
      </c>
      <c r="C94" s="2" t="s">
        <v>133</v>
      </c>
      <c r="D94" s="2" t="s">
        <v>26</v>
      </c>
      <c r="F94" s="3">
        <f>0.75*Sheet1!F94</f>
        <v>4.4583750000000002</v>
      </c>
      <c r="G94" s="3">
        <f>1.25*Sheet1!G94</f>
        <v>6.13</v>
      </c>
      <c r="H94" s="3">
        <f>1.25*Sheet1!H94</f>
        <v>4.8793749999999871</v>
      </c>
      <c r="J94" s="3">
        <f>1.25*Sheet1!J94</f>
        <v>4.8793749999999871</v>
      </c>
      <c r="K94" s="3">
        <f>1.25*Sheet1!K94</f>
        <v>7.2424999999999873</v>
      </c>
      <c r="L94" s="3">
        <f>1.25*Sheet1!L94</f>
        <v>5.2462499999999999</v>
      </c>
      <c r="M94" s="3">
        <f>1.5*Sheet1!M94</f>
        <v>8.0602499999999999</v>
      </c>
      <c r="N94" s="3">
        <f>1.25*Sheet1!N94</f>
        <v>11.340416666666663</v>
      </c>
      <c r="O94" s="3">
        <f>1.5*Sheet1!O94</f>
        <v>10.744499999999984</v>
      </c>
      <c r="Q94" s="3">
        <f>1*Sheet1!Q94</f>
        <v>9.0723333333333294</v>
      </c>
      <c r="R94" s="3">
        <f>1.25*Sheet1!R94</f>
        <v>8.953749999999987</v>
      </c>
      <c r="S94" s="3">
        <f>1.5*Sheet1!S94</f>
        <v>9.6884999999999994</v>
      </c>
      <c r="T94" s="3">
        <f>1.5*Sheet1!T94</f>
        <v>12.194999999999986</v>
      </c>
      <c r="U94" s="3">
        <f>0.75*Sheet1!U94</f>
        <v>3.2298749999999998</v>
      </c>
      <c r="V94" s="3">
        <f>0.75*Sheet1!V94</f>
        <v>6.0929999999999929</v>
      </c>
      <c r="W94" s="3">
        <f>0.75*Sheet1!W94</f>
        <v>4.2637499999999999</v>
      </c>
      <c r="Y94" s="3">
        <f>1.25*Sheet1!Y94</f>
        <v>6.9506249999999872</v>
      </c>
      <c r="Z94" s="3">
        <f>0.5*Sheet1!Z94</f>
        <v>3.17625</v>
      </c>
      <c r="AA94" s="3">
        <f>0.5*Sheet1!AA94</f>
        <v>2.544</v>
      </c>
      <c r="AB94" s="3">
        <f>0.5*Sheet1!AB94</f>
        <v>2.9132500000000001</v>
      </c>
      <c r="AD94" s="3">
        <f t="shared" si="1"/>
        <v>132.06137499999988</v>
      </c>
    </row>
    <row r="95" spans="1:30" s="3" customFormat="1" ht="16" x14ac:dyDescent="0.2">
      <c r="A95" s="2">
        <v>103</v>
      </c>
      <c r="B95" s="2" t="s">
        <v>139</v>
      </c>
      <c r="C95" s="2" t="s">
        <v>133</v>
      </c>
      <c r="D95" s="2" t="s">
        <v>26</v>
      </c>
      <c r="F95" s="3">
        <f>0.75*Sheet1!F95</f>
        <v>5.8155000000000001</v>
      </c>
      <c r="G95" s="3">
        <f>1.25*Sheet1!G95</f>
        <v>7.5</v>
      </c>
      <c r="H95" s="3">
        <f>1.25*Sheet1!H95</f>
        <v>4.8793749999999871</v>
      </c>
      <c r="J95" s="3">
        <f>1.25*Sheet1!J95</f>
        <v>4.8793749999999871</v>
      </c>
      <c r="K95" s="3">
        <f>1.25*Sheet1!K95</f>
        <v>1.25</v>
      </c>
      <c r="L95" s="3">
        <f>1.25*Sheet1!L95</f>
        <v>0</v>
      </c>
      <c r="M95" s="3">
        <f>1.5*Sheet1!M95</f>
        <v>8.0602499999999999</v>
      </c>
      <c r="N95" s="3">
        <f>1.25*Sheet1!N95</f>
        <v>11.340416666666663</v>
      </c>
      <c r="O95" s="3">
        <f>1.5*Sheet1!O95</f>
        <v>10.899000000000001</v>
      </c>
      <c r="Q95" s="3">
        <f>1*Sheet1!Q95</f>
        <v>9.0723333333333294</v>
      </c>
      <c r="R95" s="3">
        <f>1.25*Sheet1!R95</f>
        <v>9.0824999999999996</v>
      </c>
      <c r="S95" s="3">
        <f>1.5*Sheet1!S95</f>
        <v>11.02875</v>
      </c>
      <c r="T95" s="3">
        <f>1.5*Sheet1!T95</f>
        <v>12.200499999999989</v>
      </c>
      <c r="U95" s="3">
        <f>0.75*Sheet1!U95</f>
        <v>3.6254999999999997</v>
      </c>
      <c r="V95" s="3">
        <f>0.75*Sheet1!V95</f>
        <v>6.8484374999999993</v>
      </c>
      <c r="W95" s="3">
        <f>0.75*Sheet1!W95</f>
        <v>4.2344999999999997</v>
      </c>
      <c r="Y95" s="3">
        <f>1.25*Sheet1!Y95</f>
        <v>7.0825000000000005</v>
      </c>
      <c r="Z95" s="3">
        <f>0.5*Sheet1!Z95</f>
        <v>1.76275</v>
      </c>
      <c r="AA95" s="3">
        <f>0.5*Sheet1!AA95</f>
        <v>2.1332499999999999</v>
      </c>
      <c r="AB95" s="3">
        <f>0.5*Sheet1!AB95</f>
        <v>3.2748749999999949</v>
      </c>
      <c r="AD95" s="3">
        <f t="shared" si="1"/>
        <v>124.96981249999995</v>
      </c>
    </row>
    <row r="96" spans="1:30" s="3" customFormat="1" ht="16" x14ac:dyDescent="0.2">
      <c r="A96" s="2">
        <v>118</v>
      </c>
      <c r="B96" s="2" t="s">
        <v>140</v>
      </c>
      <c r="C96" s="2" t="s">
        <v>133</v>
      </c>
      <c r="D96" s="2" t="s">
        <v>26</v>
      </c>
      <c r="F96" s="3">
        <f>0.75*Sheet1!F96</f>
        <v>5.8233749999999924</v>
      </c>
      <c r="G96" s="3">
        <f>1.25*Sheet1!G96</f>
        <v>6.6174999999999997</v>
      </c>
      <c r="H96" s="3">
        <f>1.25*Sheet1!H96</f>
        <v>4.8793749999999871</v>
      </c>
      <c r="J96" s="3">
        <f>1.25*Sheet1!J96</f>
        <v>4.8793749999999871</v>
      </c>
      <c r="K96" s="3">
        <f>1.25*Sheet1!K96</f>
        <v>3.7424999999999873</v>
      </c>
      <c r="L96" s="3">
        <f>1.25*Sheet1!L96</f>
        <v>1.6237499999999998</v>
      </c>
      <c r="M96" s="3">
        <f>1.5*Sheet1!M96</f>
        <v>8.0602499999999999</v>
      </c>
      <c r="N96" s="3">
        <f>1.25*Sheet1!N96</f>
        <v>11.340416666666663</v>
      </c>
      <c r="O96" s="3">
        <f>1.5*Sheet1!O96</f>
        <v>12.5055</v>
      </c>
      <c r="Q96" s="3">
        <f>1*Sheet1!Q96</f>
        <v>9.0723333333333294</v>
      </c>
      <c r="R96" s="3">
        <f>1.25*Sheet1!R96</f>
        <v>10.421250000000001</v>
      </c>
      <c r="S96" s="3">
        <f>1.5*Sheet1!S96</f>
        <v>10.286999999999999</v>
      </c>
      <c r="T96" s="3">
        <f>1.5*Sheet1!T96</f>
        <v>12.618000000000002</v>
      </c>
      <c r="U96" s="3">
        <f>0.75*Sheet1!U96</f>
        <v>3.9056249999999997</v>
      </c>
      <c r="V96" s="3">
        <f>0.75*Sheet1!V96</f>
        <v>5.8256250000000005</v>
      </c>
      <c r="W96" s="3">
        <f>0.75*Sheet1!W96</f>
        <v>3.5988749999999996</v>
      </c>
      <c r="Y96" s="3">
        <f>1.25*Sheet1!Y96</f>
        <v>5.743125</v>
      </c>
      <c r="Z96" s="3">
        <f>0.5*Sheet1!Z96</f>
        <v>1.99325</v>
      </c>
      <c r="AA96" s="3">
        <f>0.5*Sheet1!AA96</f>
        <v>2.2942499999999999</v>
      </c>
      <c r="AB96" s="3">
        <f>0.5*Sheet1!AB96</f>
        <v>2.4527499999999951</v>
      </c>
      <c r="AD96" s="3">
        <f t="shared" si="1"/>
        <v>127.68412499999995</v>
      </c>
    </row>
    <row r="97" spans="1:30" s="3" customFormat="1" ht="16" x14ac:dyDescent="0.2">
      <c r="A97" s="2">
        <v>132</v>
      </c>
      <c r="B97" s="2" t="s">
        <v>141</v>
      </c>
      <c r="C97" s="2" t="s">
        <v>133</v>
      </c>
      <c r="D97" s="2" t="s">
        <v>26</v>
      </c>
      <c r="F97" s="3">
        <f>0.75*Sheet1!F97</f>
        <v>6.1327499999999997</v>
      </c>
      <c r="G97" s="3">
        <f>1.25*Sheet1!G97</f>
        <v>7.3887499999999999</v>
      </c>
      <c r="H97" s="3">
        <f>1.25*Sheet1!H97</f>
        <v>4.8793749999999871</v>
      </c>
      <c r="J97" s="3">
        <f>1.25*Sheet1!J97</f>
        <v>4.8793749999999871</v>
      </c>
      <c r="K97" s="3">
        <f>1.25*Sheet1!K97</f>
        <v>3.3831250000000002</v>
      </c>
      <c r="L97" s="3">
        <f>1.25*Sheet1!L97</f>
        <v>0</v>
      </c>
      <c r="M97" s="3">
        <f>1.5*Sheet1!M97</f>
        <v>8.0602499999999999</v>
      </c>
      <c r="N97" s="3">
        <f>1.25*Sheet1!N97</f>
        <v>11.340416666666663</v>
      </c>
      <c r="O97" s="3">
        <f>1.5*Sheet1!O97</f>
        <v>10.79025</v>
      </c>
      <c r="Q97" s="3">
        <f>1*Sheet1!Q97</f>
        <v>9.0723333333333294</v>
      </c>
      <c r="R97" s="3">
        <f>1.25*Sheet1!R97</f>
        <v>8.9918750000000003</v>
      </c>
      <c r="S97" s="3">
        <f>1.5*Sheet1!S97</f>
        <v>10.9155</v>
      </c>
      <c r="T97" s="3">
        <f>1.5*Sheet1!T97</f>
        <v>10.950499999999995</v>
      </c>
      <c r="U97" s="3">
        <f>0.75*Sheet1!U97</f>
        <v>3.2298749999999998</v>
      </c>
      <c r="V97" s="3">
        <f>0.75*Sheet1!V97</f>
        <v>6.7745625</v>
      </c>
      <c r="W97" s="3">
        <f>0.75*Sheet1!W97</f>
        <v>3.2527499999999998</v>
      </c>
      <c r="Y97" s="3">
        <f>1.25*Sheet1!Y97</f>
        <v>7.0581249999999995</v>
      </c>
      <c r="Z97" s="3">
        <f>0.5*Sheet1!Z97</f>
        <v>2.2632499999999949</v>
      </c>
      <c r="AA97" s="3">
        <f>0.5*Sheet1!AA97</f>
        <v>2.3734999999999999</v>
      </c>
      <c r="AB97" s="3">
        <f>0.5*Sheet1!AB97</f>
        <v>3.006875</v>
      </c>
      <c r="AD97" s="3">
        <f t="shared" si="1"/>
        <v>124.74343749999996</v>
      </c>
    </row>
    <row r="98" spans="1:30" s="3" customFormat="1" ht="16" x14ac:dyDescent="0.2">
      <c r="A98" s="2">
        <v>165</v>
      </c>
      <c r="B98" s="2" t="s">
        <v>142</v>
      </c>
      <c r="C98" s="2" t="s">
        <v>133</v>
      </c>
      <c r="D98" s="2" t="s">
        <v>26</v>
      </c>
      <c r="F98" s="3">
        <f>0.75*Sheet1!F98</f>
        <v>3.1725000000000003</v>
      </c>
      <c r="G98" s="3">
        <f>1.25*Sheet1!G98</f>
        <v>5.81</v>
      </c>
      <c r="H98" s="3">
        <f>1.25*Sheet1!H98</f>
        <v>4.8793749999999871</v>
      </c>
      <c r="J98" s="3">
        <f>1.25*Sheet1!J98</f>
        <v>4.8793749999999871</v>
      </c>
      <c r="K98" s="3">
        <f>1.25*Sheet1!K98</f>
        <v>8.6437500000000007</v>
      </c>
      <c r="L98" s="3">
        <f>1.25*Sheet1!L98</f>
        <v>8.1362500000000004</v>
      </c>
      <c r="M98" s="3">
        <f>1.5*Sheet1!M98</f>
        <v>8.0602499999999999</v>
      </c>
      <c r="N98" s="3">
        <f>1.25*Sheet1!N98</f>
        <v>11.340416666666663</v>
      </c>
      <c r="O98" s="3">
        <f>1.5*Sheet1!O98</f>
        <v>12.711750000000002</v>
      </c>
      <c r="Q98" s="3">
        <f>1*Sheet1!Q98</f>
        <v>9.0723333333333294</v>
      </c>
      <c r="R98" s="3">
        <f>1.25*Sheet1!R98</f>
        <v>10.593125000000001</v>
      </c>
      <c r="S98" s="3">
        <f>1.5*Sheet1!S98</f>
        <v>13.573499999999999</v>
      </c>
      <c r="T98" s="3">
        <f>1.5*Sheet1!T98</f>
        <v>12.556499999999986</v>
      </c>
      <c r="U98" s="3">
        <f>0.75*Sheet1!U98</f>
        <v>5.6658749999999927</v>
      </c>
      <c r="V98" s="3">
        <f>0.75*Sheet1!V98</f>
        <v>6.7636874999999996</v>
      </c>
      <c r="W98" s="3">
        <f>0.75*Sheet1!W98</f>
        <v>6.0423749999999998</v>
      </c>
      <c r="Y98" s="3">
        <f>1.25*Sheet1!Y98</f>
        <v>6.4437500000000005</v>
      </c>
      <c r="Z98" s="3">
        <f>0.5*Sheet1!Z98</f>
        <v>3.6679999999999948</v>
      </c>
      <c r="AA98" s="3">
        <f>0.5*Sheet1!AA98</f>
        <v>3.6654999999999949</v>
      </c>
      <c r="AB98" s="3">
        <f>0.5*Sheet1!AB98</f>
        <v>3.0069999999999948</v>
      </c>
      <c r="AD98" s="3">
        <f t="shared" si="1"/>
        <v>148.68531249999995</v>
      </c>
    </row>
    <row r="99" spans="1:30" s="3" customFormat="1" ht="16" x14ac:dyDescent="0.2">
      <c r="A99" s="2">
        <v>231</v>
      </c>
      <c r="B99" s="2" t="s">
        <v>143</v>
      </c>
      <c r="C99" s="2" t="s">
        <v>133</v>
      </c>
      <c r="D99" s="2" t="s">
        <v>26</v>
      </c>
      <c r="F99" s="3">
        <f>0.75*Sheet1!F99</f>
        <v>4.7355</v>
      </c>
      <c r="G99" s="3">
        <f>1.25*Sheet1!G99</f>
        <v>7.0912500000000005</v>
      </c>
      <c r="H99" s="3">
        <f>1.25*Sheet1!H99</f>
        <v>4.8793749999999871</v>
      </c>
      <c r="J99" s="3">
        <f>1.25*Sheet1!J99</f>
        <v>4.8793749999999871</v>
      </c>
      <c r="K99" s="3">
        <f>1.25*Sheet1!K99</f>
        <v>4.6956249999999997</v>
      </c>
      <c r="L99" s="3">
        <f>1.25*Sheet1!L99</f>
        <v>2.42</v>
      </c>
      <c r="M99" s="3">
        <f>1.5*Sheet1!M99</f>
        <v>8.0602499999999999</v>
      </c>
      <c r="N99" s="3">
        <f>1.25*Sheet1!N99</f>
        <v>11.340416666666663</v>
      </c>
      <c r="O99" s="3">
        <f>1.5*Sheet1!O99</f>
        <v>11.300249999999986</v>
      </c>
      <c r="Q99" s="3">
        <f>1*Sheet1!Q99</f>
        <v>9.0723333333333294</v>
      </c>
      <c r="R99" s="3">
        <f>1.25*Sheet1!R99</f>
        <v>9.4168749999999886</v>
      </c>
      <c r="S99" s="3">
        <f>1.5*Sheet1!S99</f>
        <v>12.404250000000001</v>
      </c>
      <c r="T99" s="3">
        <f>1.5*Sheet1!T99</f>
        <v>11.776999999999996</v>
      </c>
      <c r="U99" s="3">
        <f>0.75*Sheet1!U99</f>
        <v>3.7878749999999926</v>
      </c>
      <c r="V99" s="3">
        <f>0.75*Sheet1!V99</f>
        <v>5.4187499999999993</v>
      </c>
      <c r="W99" s="3">
        <f>0.75*Sheet1!W99</f>
        <v>4.4733749999999999</v>
      </c>
      <c r="Y99" s="3">
        <f>1.25*Sheet1!Y99</f>
        <v>6.4049999999999994</v>
      </c>
      <c r="Z99" s="3">
        <f>0.5*Sheet1!Z99</f>
        <v>2.778</v>
      </c>
      <c r="AA99" s="3">
        <f>0.5*Sheet1!AA99</f>
        <v>1.9747499999999949</v>
      </c>
      <c r="AB99" s="3">
        <f>0.5*Sheet1!AB99</f>
        <v>3.102749999999995</v>
      </c>
      <c r="AD99" s="3">
        <f t="shared" si="1"/>
        <v>130.01299999999995</v>
      </c>
    </row>
    <row r="100" spans="1:30" s="3" customFormat="1" ht="16" x14ac:dyDescent="0.2">
      <c r="A100" s="2">
        <v>95</v>
      </c>
      <c r="B100" s="2" t="s">
        <v>144</v>
      </c>
      <c r="C100" s="2" t="s">
        <v>145</v>
      </c>
      <c r="D100" s="2" t="s">
        <v>26</v>
      </c>
      <c r="F100" s="3">
        <f>0.75*Sheet1!F100</f>
        <v>0.83399999999999253</v>
      </c>
      <c r="G100" s="3">
        <f>1.25*Sheet1!G100</f>
        <v>0</v>
      </c>
      <c r="H100" s="3">
        <f>1.25*Sheet1!H100</f>
        <v>3.6412499999999999</v>
      </c>
      <c r="J100" s="3">
        <f>1.25*Sheet1!J100</f>
        <v>3.6412499999999999</v>
      </c>
      <c r="K100" s="3">
        <f>1.25*Sheet1!K100</f>
        <v>3.5524999999999873</v>
      </c>
      <c r="L100" s="3">
        <f>1.25*Sheet1!L100</f>
        <v>1.9574999999999876</v>
      </c>
      <c r="M100" s="3">
        <f>1.5*Sheet1!M100</f>
        <v>0</v>
      </c>
      <c r="N100" s="3">
        <f>1.25*Sheet1!N100</f>
        <v>0</v>
      </c>
      <c r="O100" s="3">
        <f>1.5*Sheet1!O100</f>
        <v>6.6397499999999994</v>
      </c>
      <c r="Q100" s="3">
        <f>1*Sheet1!Q100</f>
        <v>0</v>
      </c>
      <c r="R100" s="3">
        <f>1.25*Sheet1!R100</f>
        <v>5.5331250000000001</v>
      </c>
      <c r="S100" s="3">
        <f>1.5*Sheet1!S100</f>
        <v>14.006249999999984</v>
      </c>
      <c r="T100" s="3">
        <f>1.5*Sheet1!T100</f>
        <v>4.5349999999999948</v>
      </c>
      <c r="U100" s="3">
        <f>0.75*Sheet1!U100</f>
        <v>0</v>
      </c>
      <c r="V100" s="3">
        <f>0.75*Sheet1!V100</f>
        <v>3.8876250000000003</v>
      </c>
      <c r="W100" s="3">
        <f>0.75*Sheet1!W100</f>
        <v>0.56850000000000001</v>
      </c>
      <c r="Y100" s="3">
        <f>1.25*Sheet1!Y100</f>
        <v>5.37</v>
      </c>
      <c r="Z100" s="3">
        <f>0.5*Sheet1!Z100</f>
        <v>1.1174999999999999</v>
      </c>
      <c r="AA100" s="3">
        <f>0.5*Sheet1!AA100</f>
        <v>2.37825</v>
      </c>
      <c r="AB100" s="3">
        <f>0.5*Sheet1!AB100</f>
        <v>0</v>
      </c>
      <c r="AD100" s="3">
        <f t="shared" si="1"/>
        <v>57.662499999999945</v>
      </c>
    </row>
    <row r="101" spans="1:30" s="3" customFormat="1" ht="16" x14ac:dyDescent="0.2">
      <c r="A101" s="2">
        <v>10</v>
      </c>
      <c r="B101" s="2" t="s">
        <v>146</v>
      </c>
      <c r="C101" s="2" t="s">
        <v>147</v>
      </c>
      <c r="D101" s="2" t="s">
        <v>26</v>
      </c>
      <c r="F101" s="3">
        <f>0.75*Sheet1!F101</f>
        <v>6.7893749999999926</v>
      </c>
      <c r="G101" s="3">
        <f>1.25*Sheet1!G101</f>
        <v>8.125</v>
      </c>
      <c r="H101" s="3">
        <f>1.25*Sheet1!H101</f>
        <v>5.2081249999999999</v>
      </c>
      <c r="J101" s="3">
        <f>1.25*Sheet1!J101</f>
        <v>5.2081249999999999</v>
      </c>
      <c r="K101" s="3">
        <f>1.25*Sheet1!K101</f>
        <v>5.5049999999999999</v>
      </c>
      <c r="L101" s="3">
        <f>1.25*Sheet1!L101</f>
        <v>2.90625</v>
      </c>
      <c r="M101" s="3">
        <f>1.5*Sheet1!M101</f>
        <v>4.9799999999999853</v>
      </c>
      <c r="N101" s="3">
        <f>1.25*Sheet1!N101</f>
        <v>7.7112499999999873</v>
      </c>
      <c r="O101" s="3">
        <f>1.5*Sheet1!O101</f>
        <v>9.4019999999999992</v>
      </c>
      <c r="Q101" s="3">
        <f>1*Sheet1!Q101</f>
        <v>6.1689999999999898</v>
      </c>
      <c r="R101" s="3">
        <f>1.25*Sheet1!R101</f>
        <v>7.835</v>
      </c>
      <c r="S101" s="3">
        <f>1.5*Sheet1!S101</f>
        <v>10.13775</v>
      </c>
      <c r="T101" s="3">
        <f>1.5*Sheet1!T101</f>
        <v>10.7295</v>
      </c>
      <c r="U101" s="3">
        <f>0.75*Sheet1!U101</f>
        <v>2.3718749999999922</v>
      </c>
      <c r="V101" s="3">
        <f>0.75*Sheet1!V101</f>
        <v>2.8516874999999997</v>
      </c>
      <c r="W101" s="3">
        <f>0.75*Sheet1!W101</f>
        <v>2.7802499999999997</v>
      </c>
      <c r="Y101" s="3">
        <f>1.25*Sheet1!Y101</f>
        <v>2.7849999999999877</v>
      </c>
      <c r="Z101" s="3">
        <f>0.5*Sheet1!Z101</f>
        <v>3.9380000000000002</v>
      </c>
      <c r="AA101" s="3">
        <f>0.5*Sheet1!AA101</f>
        <v>3.2414999999999998</v>
      </c>
      <c r="AB101" s="3">
        <f>0.5*Sheet1!AB101</f>
        <v>2.6098749999999948</v>
      </c>
      <c r="AD101" s="3">
        <f t="shared" si="1"/>
        <v>111.28456249999991</v>
      </c>
    </row>
    <row r="102" spans="1:30" s="3" customFormat="1" ht="16" x14ac:dyDescent="0.2">
      <c r="A102" s="2">
        <v>243</v>
      </c>
      <c r="B102" s="2" t="s">
        <v>148</v>
      </c>
      <c r="C102" s="2" t="s">
        <v>147</v>
      </c>
      <c r="D102" s="2" t="s">
        <v>26</v>
      </c>
      <c r="F102" s="3">
        <f>0.75*Sheet1!F102</f>
        <v>7.0331250000000001</v>
      </c>
      <c r="G102" s="3">
        <f>1.25*Sheet1!G102</f>
        <v>8.25</v>
      </c>
      <c r="H102" s="3">
        <f>1.25*Sheet1!H102</f>
        <v>5.2081249999999999</v>
      </c>
      <c r="J102" s="3">
        <f>1.25*Sheet1!J102</f>
        <v>5.2081249999999999</v>
      </c>
      <c r="K102" s="3">
        <f>1.25*Sheet1!K102</f>
        <v>4.0625</v>
      </c>
      <c r="L102" s="3">
        <f>1.25*Sheet1!L102</f>
        <v>0</v>
      </c>
      <c r="M102" s="3">
        <f>1.5*Sheet1!M102</f>
        <v>4.9799999999999853</v>
      </c>
      <c r="N102" s="3">
        <f>1.25*Sheet1!N102</f>
        <v>7.7112499999999873</v>
      </c>
      <c r="O102" s="3">
        <f>1.5*Sheet1!O102</f>
        <v>11.285249999999984</v>
      </c>
      <c r="Q102" s="3">
        <f>1*Sheet1!Q102</f>
        <v>6.1689999999999898</v>
      </c>
      <c r="R102" s="3">
        <f>1.25*Sheet1!R102</f>
        <v>9.4043749999999875</v>
      </c>
      <c r="S102" s="3">
        <f>1.5*Sheet1!S102</f>
        <v>11.988</v>
      </c>
      <c r="T102" s="3">
        <f>1.5*Sheet1!T102</f>
        <v>11.263499999999985</v>
      </c>
      <c r="U102" s="3">
        <f>0.75*Sheet1!U102</f>
        <v>2.3726250000000002</v>
      </c>
      <c r="V102" s="3">
        <f>0.75*Sheet1!V102</f>
        <v>2.5036874999999998</v>
      </c>
      <c r="W102" s="3">
        <f>0.75*Sheet1!W102</f>
        <v>1.6953749999999927</v>
      </c>
      <c r="Y102" s="3">
        <f>1.25*Sheet1!Y102</f>
        <v>3.2450000000000001</v>
      </c>
      <c r="Z102" s="3">
        <f>0.5*Sheet1!Z102</f>
        <v>3.8445</v>
      </c>
      <c r="AA102" s="3">
        <f>0.5*Sheet1!AA102</f>
        <v>2.3325</v>
      </c>
      <c r="AB102" s="3">
        <f>0.5*Sheet1!AB102</f>
        <v>2.9568750000000001</v>
      </c>
      <c r="AD102" s="3">
        <f t="shared" si="1"/>
        <v>111.5138124999999</v>
      </c>
    </row>
    <row r="103" spans="1:30" s="3" customFormat="1" ht="16" x14ac:dyDescent="0.2">
      <c r="A103" s="2">
        <v>100</v>
      </c>
      <c r="B103" s="2" t="s">
        <v>149</v>
      </c>
      <c r="C103" s="2" t="s">
        <v>150</v>
      </c>
      <c r="D103" s="2" t="s">
        <v>6</v>
      </c>
      <c r="F103" s="3">
        <f>0.75*Sheet1!F103</f>
        <v>6.609375</v>
      </c>
      <c r="G103" s="3">
        <f>1.25*Sheet1!G103</f>
        <v>10.21875</v>
      </c>
      <c r="H103" s="3">
        <f>1.25*Sheet1!H103</f>
        <v>10.631250000000001</v>
      </c>
      <c r="J103" s="3">
        <f>1.25*Sheet1!J103</f>
        <v>10.631250000000001</v>
      </c>
      <c r="K103" s="3">
        <f>1.25*Sheet1!K103</f>
        <v>3.30125</v>
      </c>
      <c r="L103" s="3">
        <f>1.25*Sheet1!L103</f>
        <v>2.0912500000000001</v>
      </c>
      <c r="M103" s="3">
        <f>1.5*Sheet1!M103</f>
        <v>5.7075000000000005</v>
      </c>
      <c r="N103" s="3">
        <f>1.25*Sheet1!N103</f>
        <v>5.7712499999999878</v>
      </c>
      <c r="O103" s="3">
        <f>1.5*Sheet1!O103</f>
        <v>10.7355</v>
      </c>
      <c r="Q103" s="3">
        <f>1*Sheet1!Q103</f>
        <v>4.6169999999999902</v>
      </c>
      <c r="R103" s="3">
        <f>1.25*Sheet1!R103</f>
        <v>8.9462499999999991</v>
      </c>
      <c r="S103" s="3">
        <f>1.5*Sheet1!S103</f>
        <v>9.2085000000000008</v>
      </c>
      <c r="T103" s="3">
        <f>1.5*Sheet1!T103</f>
        <v>7.1454999999999904</v>
      </c>
      <c r="U103" s="3">
        <f>0.75*Sheet1!U103</f>
        <v>0</v>
      </c>
      <c r="V103" s="3">
        <f>0.75*Sheet1!V103</f>
        <v>2.8183125000000002</v>
      </c>
      <c r="W103" s="3">
        <f>0.75*Sheet1!W103</f>
        <v>0.61087500000000006</v>
      </c>
      <c r="Y103" s="3">
        <f>1.25*Sheet1!Y103</f>
        <v>3.1324999999999998</v>
      </c>
      <c r="Z103" s="3">
        <f>0.5*Sheet1!Z103</f>
        <v>2.5822500000000002</v>
      </c>
      <c r="AA103" s="3">
        <f>0.5*Sheet1!AA103</f>
        <v>2.0667499999999999</v>
      </c>
      <c r="AB103" s="3">
        <f>0.5*Sheet1!AB103</f>
        <v>0.26187499999999952</v>
      </c>
      <c r="AD103" s="3">
        <f t="shared" si="1"/>
        <v>107.08718749999997</v>
      </c>
    </row>
    <row r="104" spans="1:30" s="3" customFormat="1" ht="16" x14ac:dyDescent="0.2">
      <c r="A104" s="2">
        <v>108</v>
      </c>
      <c r="B104" s="2" t="s">
        <v>151</v>
      </c>
      <c r="C104" s="2" t="s">
        <v>152</v>
      </c>
      <c r="D104" s="2" t="s">
        <v>6</v>
      </c>
      <c r="F104" s="3">
        <f>0.75*Sheet1!F104</f>
        <v>1.7561249999999999</v>
      </c>
      <c r="G104" s="3">
        <f>1.25*Sheet1!G104</f>
        <v>3.5837500000000002</v>
      </c>
      <c r="H104" s="3">
        <f>1.25*Sheet1!H104</f>
        <v>5.2549999999999999</v>
      </c>
      <c r="J104" s="3">
        <f>1.25*Sheet1!J104</f>
        <v>5.2549999999999999</v>
      </c>
      <c r="K104" s="3">
        <f>1.25*Sheet1!K104</f>
        <v>5.1668749999999992</v>
      </c>
      <c r="L104" s="3">
        <f>1.25*Sheet1!L104</f>
        <v>0</v>
      </c>
      <c r="M104" s="3">
        <f>1.5*Sheet1!M104</f>
        <v>9.7717500000000008</v>
      </c>
      <c r="N104" s="3">
        <f>1.25*Sheet1!N104</f>
        <v>10.838749999999999</v>
      </c>
      <c r="O104" s="3">
        <f>1.5*Sheet1!O104</f>
        <v>11.661</v>
      </c>
      <c r="Q104" s="3">
        <f>1*Sheet1!Q104</f>
        <v>8.6709999999999994</v>
      </c>
      <c r="R104" s="3">
        <f>1.25*Sheet1!R104</f>
        <v>9.7174999999999994</v>
      </c>
      <c r="S104" s="3">
        <f>1.5*Sheet1!S104</f>
        <v>10.284749999999999</v>
      </c>
      <c r="T104" s="3">
        <f>1.5*Sheet1!T104</f>
        <v>9.6464999999999854</v>
      </c>
      <c r="U104" s="3">
        <f>0.75*Sheet1!U104</f>
        <v>3.210375</v>
      </c>
      <c r="V104" s="3">
        <f>0.75*Sheet1!V104</f>
        <v>4.5705</v>
      </c>
      <c r="W104" s="3">
        <f>0.75*Sheet1!W104</f>
        <v>1.48725</v>
      </c>
      <c r="Y104" s="3">
        <f>1.25*Sheet1!Y104</f>
        <v>7.6975000000000007</v>
      </c>
      <c r="Z104" s="3">
        <f>0.5*Sheet1!Z104</f>
        <v>3.8114999999999948</v>
      </c>
      <c r="AA104" s="3">
        <f>0.5*Sheet1!AA104</f>
        <v>2.9587500000000002</v>
      </c>
      <c r="AB104" s="3">
        <f>0.5*Sheet1!AB104</f>
        <v>2.0808749999999998</v>
      </c>
      <c r="AD104" s="3">
        <f t="shared" si="1"/>
        <v>117.42474999999999</v>
      </c>
    </row>
    <row r="105" spans="1:30" s="3" customFormat="1" ht="16" x14ac:dyDescent="0.2">
      <c r="A105" s="2">
        <v>107</v>
      </c>
      <c r="B105" s="2" t="s">
        <v>153</v>
      </c>
      <c r="C105" s="2" t="s">
        <v>154</v>
      </c>
      <c r="D105" s="2" t="s">
        <v>16</v>
      </c>
      <c r="F105" s="3">
        <f>0.75*Sheet1!F105</f>
        <v>0.75</v>
      </c>
      <c r="G105" s="3">
        <f>1.25*Sheet1!G105</f>
        <v>6.2087499999999993</v>
      </c>
      <c r="H105" s="3">
        <f>1.25*Sheet1!H105</f>
        <v>10.475624999999988</v>
      </c>
      <c r="J105" s="3">
        <f>1.25*Sheet1!J105</f>
        <v>10.475624999999988</v>
      </c>
      <c r="K105" s="3">
        <f>1.25*Sheet1!K105</f>
        <v>10.428750000000001</v>
      </c>
      <c r="L105" s="3">
        <f>1.25*Sheet1!L105</f>
        <v>10.3925</v>
      </c>
      <c r="M105" s="3">
        <f>1.5*Sheet1!M105</f>
        <v>9.723749999999999</v>
      </c>
      <c r="N105" s="3">
        <f>1.25*Sheet1!N105</f>
        <v>11.617916666666662</v>
      </c>
      <c r="O105" s="3">
        <f>1.5*Sheet1!O105</f>
        <v>10.728</v>
      </c>
      <c r="Q105" s="3">
        <f>1*Sheet1!Q105</f>
        <v>9.2943333333333307</v>
      </c>
      <c r="R105" s="3">
        <f>1.25*Sheet1!R105</f>
        <v>8.94</v>
      </c>
      <c r="S105" s="3">
        <f>1.5*Sheet1!S105</f>
        <v>14.02575</v>
      </c>
      <c r="T105" s="3">
        <f>1.5*Sheet1!T105</f>
        <v>6.2309999999999999</v>
      </c>
      <c r="U105" s="3">
        <f>0.75*Sheet1!U105</f>
        <v>7.2832500000000007</v>
      </c>
      <c r="V105" s="3">
        <f>0.75*Sheet1!V105</f>
        <v>3.3999375000000001</v>
      </c>
      <c r="W105" s="3">
        <f>0.75*Sheet1!W105</f>
        <v>2.7592499999999998</v>
      </c>
      <c r="Y105" s="3">
        <f>1.25*Sheet1!Y105</f>
        <v>7.7843749999999998</v>
      </c>
      <c r="Z105" s="3">
        <f>0.5*Sheet1!Z105</f>
        <v>3.5292499999999949</v>
      </c>
      <c r="AA105" s="3">
        <f>0.5*Sheet1!AA105</f>
        <v>2.8980000000000001</v>
      </c>
      <c r="AB105" s="3">
        <f>0.5*Sheet1!AB105</f>
        <v>2.7701250000000002</v>
      </c>
      <c r="AD105" s="3">
        <f t="shared" si="1"/>
        <v>149.71618749999996</v>
      </c>
    </row>
    <row r="106" spans="1:30" s="3" customFormat="1" ht="16" x14ac:dyDescent="0.2">
      <c r="A106" s="2">
        <v>45</v>
      </c>
      <c r="B106" s="2" t="s">
        <v>155</v>
      </c>
      <c r="C106" s="2" t="s">
        <v>156</v>
      </c>
      <c r="D106" s="2" t="s">
        <v>26</v>
      </c>
      <c r="F106" s="3">
        <f>0.75*Sheet1!F106</f>
        <v>6.4278749999999993</v>
      </c>
      <c r="G106" s="3">
        <f>1.25*Sheet1!G106</f>
        <v>9.9349999999999881</v>
      </c>
      <c r="H106" s="3">
        <f>1.25*Sheet1!H106</f>
        <v>7.6343750000000004</v>
      </c>
      <c r="J106" s="3">
        <f>1.25*Sheet1!J106</f>
        <v>7.6343750000000004</v>
      </c>
      <c r="K106" s="3">
        <f>1.25*Sheet1!K106</f>
        <v>6.8668750000000003</v>
      </c>
      <c r="L106" s="3">
        <f>1.25*Sheet1!L106</f>
        <v>3.5049999999999999</v>
      </c>
      <c r="M106" s="3">
        <f>1.5*Sheet1!M106</f>
        <v>7.4189999999999996</v>
      </c>
      <c r="N106" s="3">
        <f>1.25*Sheet1!N106</f>
        <v>8.3849999999999874</v>
      </c>
      <c r="O106" s="3">
        <f>1.5*Sheet1!O106</f>
        <v>10.841999999999999</v>
      </c>
      <c r="Q106" s="3">
        <f>1*Sheet1!Q106</f>
        <v>6.7079999999999904</v>
      </c>
      <c r="R106" s="3">
        <f>1.25*Sheet1!R106</f>
        <v>9.0350000000000001</v>
      </c>
      <c r="S106" s="3">
        <f>1.5*Sheet1!S106</f>
        <v>12.327749999999984</v>
      </c>
      <c r="T106" s="3">
        <f>1.5*Sheet1!T106</f>
        <v>8.6189999999999856</v>
      </c>
      <c r="U106" s="3">
        <f>0.75*Sheet1!U106</f>
        <v>2.7697500000000002</v>
      </c>
      <c r="V106" s="3">
        <f>0.75*Sheet1!V106</f>
        <v>3.9656249999999997</v>
      </c>
      <c r="W106" s="3">
        <f>0.75*Sheet1!W106</f>
        <v>3.3198749999999997</v>
      </c>
      <c r="Y106" s="3">
        <f>1.25*Sheet1!Y106</f>
        <v>8.4487500000000004</v>
      </c>
      <c r="Z106" s="3">
        <f>0.5*Sheet1!Z106</f>
        <v>4.1265000000000001</v>
      </c>
      <c r="AA106" s="3">
        <f>0.5*Sheet1!AA106</f>
        <v>2.556</v>
      </c>
      <c r="AB106" s="3">
        <f>0.5*Sheet1!AB106</f>
        <v>2.6974999999999998</v>
      </c>
      <c r="AD106" s="3">
        <f t="shared" si="1"/>
        <v>133.22324999999992</v>
      </c>
    </row>
    <row r="107" spans="1:30" s="3" customFormat="1" ht="16" x14ac:dyDescent="0.2">
      <c r="A107" s="2">
        <v>200</v>
      </c>
      <c r="B107" s="2" t="s">
        <v>157</v>
      </c>
      <c r="C107" s="2" t="s">
        <v>158</v>
      </c>
      <c r="D107" s="2" t="s">
        <v>26</v>
      </c>
      <c r="F107" s="3">
        <f>0.75*Sheet1!F107</f>
        <v>2.0786250000000002</v>
      </c>
      <c r="G107" s="3">
        <f>1.25*Sheet1!G107</f>
        <v>1.25</v>
      </c>
      <c r="H107" s="3">
        <f>1.25*Sheet1!H107</f>
        <v>5.5818749999999993</v>
      </c>
      <c r="J107" s="3">
        <f>1.25*Sheet1!J107</f>
        <v>5.5818749999999993</v>
      </c>
      <c r="K107" s="3">
        <f>1.25*Sheet1!K107</f>
        <v>3.9599999999999875</v>
      </c>
      <c r="L107" s="3">
        <f>1.25*Sheet1!L107</f>
        <v>3.59375</v>
      </c>
      <c r="M107" s="3">
        <f>1.5*Sheet1!M107</f>
        <v>7.9244999999999841</v>
      </c>
      <c r="N107" s="3">
        <f>1.25*Sheet1!N107</f>
        <v>11.7</v>
      </c>
      <c r="O107" s="3">
        <f>1.5*Sheet1!O107</f>
        <v>14.3475</v>
      </c>
      <c r="Q107" s="3">
        <f>1*Sheet1!Q107</f>
        <v>9.36</v>
      </c>
      <c r="R107" s="3">
        <f>1.25*Sheet1!R107</f>
        <v>11.956249999999999</v>
      </c>
      <c r="S107" s="3">
        <f>1.5*Sheet1!S107</f>
        <v>12.986999999999998</v>
      </c>
      <c r="T107" s="3">
        <f>1.5*Sheet1!T107</f>
        <v>12.118499999999985</v>
      </c>
      <c r="U107" s="3">
        <f>0.75*Sheet1!U107</f>
        <v>3.0427500000000003</v>
      </c>
      <c r="V107" s="3">
        <f>0.75*Sheet1!V107</f>
        <v>6.4678124999999991</v>
      </c>
      <c r="W107" s="3">
        <f>0.75*Sheet1!W107</f>
        <v>0.85124999999999251</v>
      </c>
      <c r="Y107" s="3">
        <f>1.25*Sheet1!Y107</f>
        <v>8.4275000000000002</v>
      </c>
      <c r="Z107" s="3">
        <f>0.5*Sheet1!Z107</f>
        <v>2.5102500000000001</v>
      </c>
      <c r="AA107" s="3">
        <f>0.5*Sheet1!AA107</f>
        <v>2.4017499999999998</v>
      </c>
      <c r="AB107" s="3">
        <f>0.5*Sheet1!AB107</f>
        <v>2.7374999999999998</v>
      </c>
      <c r="AD107" s="3">
        <f t="shared" si="1"/>
        <v>128.87868749999993</v>
      </c>
    </row>
    <row r="108" spans="1:30" s="3" customFormat="1" ht="16" x14ac:dyDescent="0.2">
      <c r="A108" s="2">
        <v>32</v>
      </c>
      <c r="B108" s="2" t="s">
        <v>159</v>
      </c>
      <c r="C108" s="2" t="s">
        <v>160</v>
      </c>
      <c r="D108" s="2" t="s">
        <v>6</v>
      </c>
      <c r="F108" s="3">
        <f>0.75*Sheet1!F108</f>
        <v>5.2226249999999999</v>
      </c>
      <c r="G108" s="3">
        <f>1.25*Sheet1!G108</f>
        <v>8.2225000000000001</v>
      </c>
      <c r="H108" s="3">
        <f>1.25*Sheet1!H108</f>
        <v>5.0775000000000006</v>
      </c>
      <c r="J108" s="3">
        <f>1.25*Sheet1!J108</f>
        <v>5.0775000000000006</v>
      </c>
      <c r="K108" s="3">
        <f>1.25*Sheet1!K108</f>
        <v>5.2562499999999996</v>
      </c>
      <c r="L108" s="3">
        <f>1.25*Sheet1!L108</f>
        <v>3.2450000000000001</v>
      </c>
      <c r="M108" s="3">
        <f>1.5*Sheet1!M108</f>
        <v>9.7717500000000008</v>
      </c>
      <c r="N108" s="3">
        <f>1.25*Sheet1!N108</f>
        <v>10.838749999999999</v>
      </c>
      <c r="O108" s="3">
        <f>1.5*Sheet1!O108</f>
        <v>10.391249999999999</v>
      </c>
      <c r="Q108" s="3">
        <f>1*Sheet1!Q108</f>
        <v>8.6709999999999994</v>
      </c>
      <c r="R108" s="3">
        <f>1.25*Sheet1!R108</f>
        <v>8.6593750000000007</v>
      </c>
      <c r="S108" s="3">
        <f>1.5*Sheet1!S108</f>
        <v>6.5407500000000001</v>
      </c>
      <c r="T108" s="3">
        <f>1.5*Sheet1!T108</f>
        <v>10.195999999999994</v>
      </c>
      <c r="U108" s="3">
        <f>0.75*Sheet1!U108</f>
        <v>2.718375</v>
      </c>
      <c r="V108" s="3">
        <f>0.75*Sheet1!V108</f>
        <v>6.0521250000000002</v>
      </c>
      <c r="W108" s="3">
        <f>0.75*Sheet1!W108</f>
        <v>0.99262499999999987</v>
      </c>
      <c r="Y108" s="3">
        <f>1.25*Sheet1!Y108</f>
        <v>4.3025000000000002</v>
      </c>
      <c r="Z108" s="3">
        <f>0.5*Sheet1!Z108</f>
        <v>2.0997499999999998</v>
      </c>
      <c r="AA108" s="3">
        <f>0.5*Sheet1!AA108</f>
        <v>2.6105</v>
      </c>
      <c r="AB108" s="3">
        <f>0.5*Sheet1!AB108</f>
        <v>2.6124999999999998</v>
      </c>
      <c r="AD108" s="3">
        <f t="shared" si="1"/>
        <v>118.55862499999999</v>
      </c>
    </row>
    <row r="109" spans="1:30" s="3" customFormat="1" ht="16" x14ac:dyDescent="0.2">
      <c r="A109" s="2">
        <v>60</v>
      </c>
      <c r="B109" s="2" t="s">
        <v>161</v>
      </c>
      <c r="C109" s="2" t="s">
        <v>162</v>
      </c>
      <c r="D109" s="2" t="s">
        <v>6</v>
      </c>
      <c r="F109" s="3">
        <f>0.75*Sheet1!F109</f>
        <v>2.7765</v>
      </c>
      <c r="G109" s="3">
        <f>1.25*Sheet1!G109</f>
        <v>5.9574999999999996</v>
      </c>
      <c r="H109" s="3">
        <f>1.25*Sheet1!H109</f>
        <v>5.0775000000000006</v>
      </c>
      <c r="J109" s="3">
        <f>1.25*Sheet1!J109</f>
        <v>5.0775000000000006</v>
      </c>
      <c r="K109" s="3">
        <f>1.25*Sheet1!K109</f>
        <v>11.891249999999999</v>
      </c>
      <c r="L109" s="3">
        <f>1.25*Sheet1!L109</f>
        <v>10.46</v>
      </c>
      <c r="M109" s="3">
        <f>1.5*Sheet1!M109</f>
        <v>9.7717500000000008</v>
      </c>
      <c r="N109" s="3">
        <f>1.25*Sheet1!N109</f>
        <v>10.838749999999999</v>
      </c>
      <c r="O109" s="3">
        <f>1.5*Sheet1!O109</f>
        <v>9.2009999999999845</v>
      </c>
      <c r="Q109" s="3">
        <f>1*Sheet1!Q109</f>
        <v>8.6709999999999994</v>
      </c>
      <c r="R109" s="3">
        <f>1.25*Sheet1!R109</f>
        <v>7.6674999999999871</v>
      </c>
      <c r="S109" s="3">
        <f>1.5*Sheet1!S109</f>
        <v>5.7479999999999993</v>
      </c>
      <c r="T109" s="3">
        <f>1.5*Sheet1!T109</f>
        <v>9.3239999999999856</v>
      </c>
      <c r="U109" s="3">
        <f>0.75*Sheet1!U109</f>
        <v>5.99925</v>
      </c>
      <c r="V109" s="3">
        <f>0.75*Sheet1!V109</f>
        <v>5.1033749999999998</v>
      </c>
      <c r="W109" s="3">
        <f>0.75*Sheet1!W109</f>
        <v>4.1306250000000002</v>
      </c>
      <c r="Y109" s="3">
        <f>1.25*Sheet1!Y109</f>
        <v>8.2493749999999881</v>
      </c>
      <c r="Z109" s="3">
        <f>0.5*Sheet1!Z109</f>
        <v>4.0964999999999998</v>
      </c>
      <c r="AA109" s="3">
        <f>0.5*Sheet1!AA109</f>
        <v>2.7077499999999999</v>
      </c>
      <c r="AB109" s="3">
        <f>0.5*Sheet1!AB109</f>
        <v>2.2898749999999999</v>
      </c>
      <c r="AD109" s="3">
        <f t="shared" si="1"/>
        <v>135.03899999999996</v>
      </c>
    </row>
    <row r="110" spans="1:30" s="3" customFormat="1" ht="16" x14ac:dyDescent="0.2">
      <c r="A110" s="2">
        <v>24</v>
      </c>
      <c r="B110" s="2" t="s">
        <v>163</v>
      </c>
      <c r="C110" s="2" t="s">
        <v>164</v>
      </c>
      <c r="D110" s="2" t="s">
        <v>16</v>
      </c>
      <c r="F110" s="3">
        <f>0.75*Sheet1!F110</f>
        <v>7.358249999999992</v>
      </c>
      <c r="G110" s="3">
        <f>1.25*Sheet1!G110</f>
        <v>12.5</v>
      </c>
      <c r="H110" s="3">
        <f>1.25*Sheet1!H110</f>
        <v>4.2681249999999995</v>
      </c>
      <c r="J110" s="3">
        <f>1.25*Sheet1!J110</f>
        <v>4.2681249999999995</v>
      </c>
      <c r="K110" s="3">
        <f>1.25*Sheet1!K110</f>
        <v>12.5</v>
      </c>
      <c r="L110" s="3">
        <f>1.25*Sheet1!L110</f>
        <v>11.216249999999988</v>
      </c>
      <c r="M110" s="3">
        <f>1.5*Sheet1!M110</f>
        <v>8.3347499999999997</v>
      </c>
      <c r="N110" s="3">
        <f>1.25*Sheet1!N110</f>
        <v>4.5224999999999875</v>
      </c>
      <c r="O110" s="3">
        <f>1.5*Sheet1!O110</f>
        <v>5.2267499999999849</v>
      </c>
      <c r="Q110" s="3">
        <f>1*Sheet1!Q110</f>
        <v>3.6179999999999901</v>
      </c>
      <c r="R110" s="3">
        <f>1.25*Sheet1!R110</f>
        <v>4.3556249999999874</v>
      </c>
      <c r="S110" s="3">
        <f>1.5*Sheet1!S110</f>
        <v>10.940999999999999</v>
      </c>
      <c r="T110" s="3">
        <f>1.5*Sheet1!T110</f>
        <v>5.9054999999999849</v>
      </c>
      <c r="U110" s="3">
        <f>0.75*Sheet1!U110</f>
        <v>0.49199999999999999</v>
      </c>
      <c r="V110" s="3">
        <f>0.75*Sheet1!V110</f>
        <v>2.0668125000000002</v>
      </c>
      <c r="W110" s="3">
        <f>0.75*Sheet1!W110</f>
        <v>3.048</v>
      </c>
      <c r="Y110" s="3">
        <f>1.25*Sheet1!Y110</f>
        <v>3.5512499999999876</v>
      </c>
      <c r="Z110" s="3">
        <f>0.5*Sheet1!Z110</f>
        <v>1.6107499999999999</v>
      </c>
      <c r="AA110" s="3">
        <f>0.5*Sheet1!AA110</f>
        <v>1.1924999999999999</v>
      </c>
      <c r="AB110" s="3">
        <f>0.5*Sheet1!AB110</f>
        <v>2.0031249999999998</v>
      </c>
      <c r="AD110" s="3">
        <f t="shared" si="1"/>
        <v>108.97931249999989</v>
      </c>
    </row>
    <row r="111" spans="1:30" s="3" customFormat="1" ht="16" x14ac:dyDescent="0.2">
      <c r="A111" s="2">
        <v>58</v>
      </c>
      <c r="B111" s="2" t="s">
        <v>165</v>
      </c>
      <c r="C111" s="2" t="s">
        <v>164</v>
      </c>
      <c r="D111" s="2" t="s">
        <v>16</v>
      </c>
      <c r="F111" s="3">
        <f>0.75*Sheet1!F111</f>
        <v>7.5</v>
      </c>
      <c r="G111" s="3">
        <f>1.25*Sheet1!G111</f>
        <v>12.5</v>
      </c>
      <c r="H111" s="3">
        <f>1.25*Sheet1!H111</f>
        <v>4.2681249999999995</v>
      </c>
      <c r="J111" s="3">
        <f>1.25*Sheet1!J111</f>
        <v>4.2681249999999995</v>
      </c>
      <c r="K111" s="3">
        <f>1.25*Sheet1!K111</f>
        <v>8.8800000000000008</v>
      </c>
      <c r="L111" s="3">
        <f>1.25*Sheet1!L111</f>
        <v>4.7275</v>
      </c>
      <c r="M111" s="3">
        <f>1.5*Sheet1!M111</f>
        <v>8.3347499999999997</v>
      </c>
      <c r="N111" s="3">
        <f>1.25*Sheet1!N111</f>
        <v>4.5224999999999875</v>
      </c>
      <c r="O111" s="3">
        <f>1.5*Sheet1!O111</f>
        <v>6.8249999999999993</v>
      </c>
      <c r="Q111" s="3">
        <f>1*Sheet1!Q111</f>
        <v>3.6179999999999901</v>
      </c>
      <c r="R111" s="3">
        <f>1.25*Sheet1!R111</f>
        <v>5.6875</v>
      </c>
      <c r="S111" s="3">
        <f>1.5*Sheet1!S111</f>
        <v>11.7555</v>
      </c>
      <c r="T111" s="3">
        <f>1.5*Sheet1!T111</f>
        <v>6.1119999999999903</v>
      </c>
      <c r="U111" s="3">
        <f>0.75*Sheet1!U111</f>
        <v>0.38362499999999999</v>
      </c>
      <c r="V111" s="3">
        <f>0.75*Sheet1!V111</f>
        <v>1.7958749999999999</v>
      </c>
      <c r="W111" s="3">
        <f>0.75*Sheet1!W111</f>
        <v>3.1560000000000001</v>
      </c>
      <c r="Y111" s="3">
        <f>1.25*Sheet1!Y111</f>
        <v>8.5318749999999994</v>
      </c>
      <c r="Z111" s="3">
        <f>0.5*Sheet1!Z111</f>
        <v>1.11375</v>
      </c>
      <c r="AA111" s="3">
        <f>0.5*Sheet1!AA111</f>
        <v>2.0990000000000002</v>
      </c>
      <c r="AB111" s="3">
        <f>0.5*Sheet1!AB111</f>
        <v>2.4209999999999998</v>
      </c>
      <c r="AD111" s="3">
        <f t="shared" si="1"/>
        <v>108.50012499999997</v>
      </c>
    </row>
    <row r="112" spans="1:30" s="3" customFormat="1" ht="16" x14ac:dyDescent="0.2">
      <c r="A112" s="2">
        <v>74</v>
      </c>
      <c r="B112" s="2" t="s">
        <v>166</v>
      </c>
      <c r="C112" s="2" t="s">
        <v>164</v>
      </c>
      <c r="D112" s="2" t="s">
        <v>16</v>
      </c>
      <c r="F112" s="3">
        <f>0.75*Sheet1!F112</f>
        <v>7.313999999999993</v>
      </c>
      <c r="G112" s="3">
        <f>1.25*Sheet1!G112</f>
        <v>12.33625</v>
      </c>
      <c r="H112" s="3">
        <f>1.25*Sheet1!H112</f>
        <v>4.2681249999999995</v>
      </c>
      <c r="J112" s="3">
        <f>1.25*Sheet1!J112</f>
        <v>4.2681249999999995</v>
      </c>
      <c r="K112" s="3">
        <f>1.25*Sheet1!K112</f>
        <v>12.285625</v>
      </c>
      <c r="L112" s="3">
        <f>1.25*Sheet1!L112</f>
        <v>11.373750000000001</v>
      </c>
      <c r="M112" s="3">
        <f>1.5*Sheet1!M112</f>
        <v>8.3347499999999997</v>
      </c>
      <c r="N112" s="3">
        <f>1.25*Sheet1!N112</f>
        <v>4.5224999999999875</v>
      </c>
      <c r="O112" s="3">
        <f>1.5*Sheet1!O112</f>
        <v>4.6739999999999853</v>
      </c>
      <c r="Q112" s="3">
        <f>1*Sheet1!Q112</f>
        <v>3.6179999999999901</v>
      </c>
      <c r="R112" s="3">
        <f>1.25*Sheet1!R112</f>
        <v>3.8949999999999871</v>
      </c>
      <c r="S112" s="3">
        <f>1.5*Sheet1!S112</f>
        <v>9.6277499999999989</v>
      </c>
      <c r="T112" s="3">
        <f>1.5*Sheet1!T112</f>
        <v>5.5689999999999902</v>
      </c>
      <c r="U112" s="3">
        <f>0.75*Sheet1!U112</f>
        <v>0.38400000000000001</v>
      </c>
      <c r="V112" s="3">
        <f>0.75*Sheet1!V112</f>
        <v>1.65225</v>
      </c>
      <c r="W112" s="3">
        <f>0.75*Sheet1!W112</f>
        <v>4.2315000000000005</v>
      </c>
      <c r="Y112" s="3">
        <f>1.25*Sheet1!Y112</f>
        <v>4.4850000000000003</v>
      </c>
      <c r="Z112" s="3">
        <f>0.5*Sheet1!Z112</f>
        <v>2.8414999999999999</v>
      </c>
      <c r="AA112" s="3">
        <f>0.5*Sheet1!AA112</f>
        <v>0.58925000000000005</v>
      </c>
      <c r="AB112" s="3">
        <f>0.5*Sheet1!AB112</f>
        <v>1.856125</v>
      </c>
      <c r="AD112" s="3">
        <f t="shared" si="1"/>
        <v>108.12649999999994</v>
      </c>
    </row>
    <row r="113" spans="1:30" s="3" customFormat="1" ht="16" x14ac:dyDescent="0.2">
      <c r="A113" s="2">
        <v>110</v>
      </c>
      <c r="B113" s="2" t="s">
        <v>167</v>
      </c>
      <c r="C113" s="2" t="s">
        <v>164</v>
      </c>
      <c r="D113" s="2" t="s">
        <v>16</v>
      </c>
      <c r="F113" s="3">
        <f>0.75*Sheet1!F113</f>
        <v>7.5</v>
      </c>
      <c r="G113" s="3">
        <f>1.25*Sheet1!G113</f>
        <v>12.5</v>
      </c>
      <c r="H113" s="3">
        <f>1.25*Sheet1!H113</f>
        <v>4.2681249999999995</v>
      </c>
      <c r="J113" s="3">
        <f>1.25*Sheet1!J113</f>
        <v>4.2681249999999995</v>
      </c>
      <c r="K113" s="3">
        <f>1.25*Sheet1!K113</f>
        <v>10.905624999999988</v>
      </c>
      <c r="L113" s="3">
        <f>1.25*Sheet1!L113</f>
        <v>4.4812500000000002</v>
      </c>
      <c r="M113" s="3">
        <f>1.5*Sheet1!M113</f>
        <v>8.3347499999999997</v>
      </c>
      <c r="N113" s="3">
        <f>1.25*Sheet1!N113</f>
        <v>4.5224999999999875</v>
      </c>
      <c r="O113" s="3">
        <f>1.5*Sheet1!O113</f>
        <v>6.1987499999999844</v>
      </c>
      <c r="Q113" s="3">
        <f>1*Sheet1!Q113</f>
        <v>3.6179999999999901</v>
      </c>
      <c r="R113" s="3">
        <f>1.25*Sheet1!R113</f>
        <v>5.165624999999987</v>
      </c>
      <c r="S113" s="3">
        <f>1.5*Sheet1!S113</f>
        <v>12.18975</v>
      </c>
      <c r="T113" s="3">
        <f>1.5*Sheet1!T113</f>
        <v>5.9359999999999946</v>
      </c>
      <c r="U113" s="3">
        <f>0.75*Sheet1!U113</f>
        <v>0</v>
      </c>
      <c r="V113" s="3">
        <f>0.75*Sheet1!V113</f>
        <v>2.1303749999999999</v>
      </c>
      <c r="W113" s="3">
        <f>0.75*Sheet1!W113</f>
        <v>2.8807499999999999</v>
      </c>
      <c r="Y113" s="3">
        <f>1.25*Sheet1!Y113</f>
        <v>6.9249999999999998</v>
      </c>
      <c r="Z113" s="3">
        <f>0.5*Sheet1!Z113</f>
        <v>2.1355</v>
      </c>
      <c r="AA113" s="3">
        <f>0.5*Sheet1!AA113</f>
        <v>1.60425</v>
      </c>
      <c r="AB113" s="3">
        <f>0.5*Sheet1!AB113</f>
        <v>2.3159999999999998</v>
      </c>
      <c r="AD113" s="3">
        <f t="shared" si="1"/>
        <v>107.88037499999993</v>
      </c>
    </row>
    <row r="114" spans="1:30" s="3" customFormat="1" ht="16" x14ac:dyDescent="0.2">
      <c r="A114" s="2">
        <v>164</v>
      </c>
      <c r="B114" s="2" t="s">
        <v>168</v>
      </c>
      <c r="C114" s="2" t="s">
        <v>164</v>
      </c>
      <c r="D114" s="2" t="s">
        <v>16</v>
      </c>
      <c r="F114" s="3">
        <f>0.75*Sheet1!F114</f>
        <v>6.093</v>
      </c>
      <c r="G114" s="3">
        <f>1.25*Sheet1!G114</f>
        <v>12.28125</v>
      </c>
      <c r="H114" s="3">
        <f>1.25*Sheet1!H114</f>
        <v>4.2681249999999995</v>
      </c>
      <c r="J114" s="3">
        <f>1.25*Sheet1!J114</f>
        <v>4.2681249999999995</v>
      </c>
      <c r="K114" s="3">
        <f>1.25*Sheet1!K114</f>
        <v>12.31625</v>
      </c>
      <c r="L114" s="3">
        <f>1.25*Sheet1!L114</f>
        <v>7.7237500000000008</v>
      </c>
      <c r="M114" s="3">
        <f>1.5*Sheet1!M114</f>
        <v>8.3347499999999997</v>
      </c>
      <c r="N114" s="3">
        <f>1.25*Sheet1!N114</f>
        <v>4.5224999999999875</v>
      </c>
      <c r="O114" s="3">
        <f>1.5*Sheet1!O114</f>
        <v>5.7584999999999997</v>
      </c>
      <c r="Q114" s="3">
        <f>1*Sheet1!Q114</f>
        <v>3.6179999999999901</v>
      </c>
      <c r="R114" s="3">
        <f>1.25*Sheet1!R114</f>
        <v>4.7987500000000001</v>
      </c>
      <c r="S114" s="3">
        <f>1.5*Sheet1!S114</f>
        <v>11.42775</v>
      </c>
      <c r="T114" s="3">
        <f>1.5*Sheet1!T114</f>
        <v>5.7034999999999947</v>
      </c>
      <c r="U114" s="3">
        <f>0.75*Sheet1!U114</f>
        <v>0.395625</v>
      </c>
      <c r="V114" s="3">
        <f>0.75*Sheet1!V114</f>
        <v>1.5723749999999999</v>
      </c>
      <c r="W114" s="3">
        <f>0.75*Sheet1!W114</f>
        <v>4.0604999999999993</v>
      </c>
      <c r="Y114" s="3">
        <f>1.25*Sheet1!Y114</f>
        <v>4.2862499999999999</v>
      </c>
      <c r="Z114" s="3">
        <f>0.5*Sheet1!Z114</f>
        <v>2.484249999999995</v>
      </c>
      <c r="AA114" s="3">
        <f>0.5*Sheet1!AA114</f>
        <v>2.8959999999999999</v>
      </c>
      <c r="AB114" s="3">
        <f>0.5*Sheet1!AB114</f>
        <v>1.97</v>
      </c>
      <c r="AD114" s="3">
        <f t="shared" si="1"/>
        <v>108.77924999999995</v>
      </c>
    </row>
    <row r="115" spans="1:30" s="3" customFormat="1" ht="16" x14ac:dyDescent="0.2">
      <c r="A115" s="2">
        <v>111</v>
      </c>
      <c r="B115" s="2" t="s">
        <v>169</v>
      </c>
      <c r="C115" s="2" t="s">
        <v>170</v>
      </c>
      <c r="D115" s="2" t="s">
        <v>6</v>
      </c>
      <c r="F115" s="3">
        <f>0.75*Sheet1!F115</f>
        <v>4.6995000000000005</v>
      </c>
      <c r="G115" s="3">
        <f>1.25*Sheet1!G115</f>
        <v>6.8475000000000001</v>
      </c>
      <c r="H115" s="3">
        <f>1.25*Sheet1!H115</f>
        <v>5.0775000000000006</v>
      </c>
      <c r="J115" s="3">
        <f>1.25*Sheet1!J115</f>
        <v>5.0775000000000006</v>
      </c>
      <c r="K115" s="3">
        <f>1.25*Sheet1!K115</f>
        <v>6.8787500000000001</v>
      </c>
      <c r="L115" s="3">
        <f>1.25*Sheet1!L115</f>
        <v>4.95</v>
      </c>
      <c r="M115" s="3">
        <f>1.5*Sheet1!M115</f>
        <v>9.7717500000000008</v>
      </c>
      <c r="N115" s="3">
        <f>1.25*Sheet1!N115</f>
        <v>10.838749999999999</v>
      </c>
      <c r="O115" s="3">
        <f>1.5*Sheet1!O115</f>
        <v>10.304999999999986</v>
      </c>
      <c r="Q115" s="3">
        <f>1*Sheet1!Q115</f>
        <v>8.6709999999999994</v>
      </c>
      <c r="R115" s="3">
        <f>1.25*Sheet1!R115</f>
        <v>8.5874999999999879</v>
      </c>
      <c r="S115" s="3">
        <f>1.5*Sheet1!S115</f>
        <v>5.952</v>
      </c>
      <c r="T115" s="3">
        <f>1.5*Sheet1!T115</f>
        <v>9.226999999999995</v>
      </c>
      <c r="U115" s="3">
        <f>0.75*Sheet1!U115</f>
        <v>2.718375</v>
      </c>
      <c r="V115" s="3">
        <f>0.75*Sheet1!V115</f>
        <v>4.6203750000000001</v>
      </c>
      <c r="W115" s="3">
        <f>0.75*Sheet1!W115</f>
        <v>1.2611250000000001</v>
      </c>
      <c r="Y115" s="3">
        <f>1.25*Sheet1!Y115</f>
        <v>7.3443749999999994</v>
      </c>
      <c r="Z115" s="3">
        <f>0.5*Sheet1!Z115</f>
        <v>3.6494999999999949</v>
      </c>
      <c r="AA115" s="3">
        <f>0.5*Sheet1!AA115</f>
        <v>1.9824999999999999</v>
      </c>
      <c r="AB115" s="3">
        <f>0.5*Sheet1!AB115</f>
        <v>2.4293749999999998</v>
      </c>
      <c r="AD115" s="3">
        <f t="shared" si="1"/>
        <v>120.88937499999994</v>
      </c>
    </row>
    <row r="116" spans="1:30" s="3" customFormat="1" ht="16" x14ac:dyDescent="0.2">
      <c r="A116" s="2">
        <v>15</v>
      </c>
      <c r="B116" s="2" t="s">
        <v>171</v>
      </c>
      <c r="C116" s="2" t="s">
        <v>172</v>
      </c>
      <c r="D116" s="2" t="s">
        <v>16</v>
      </c>
      <c r="F116" s="3">
        <f>0.75*Sheet1!F116</f>
        <v>3.75</v>
      </c>
      <c r="G116" s="3">
        <f>1.25*Sheet1!G116</f>
        <v>0</v>
      </c>
      <c r="H116" s="3">
        <f>1.25*Sheet1!H116</f>
        <v>7.8324999999999996</v>
      </c>
      <c r="J116" s="3">
        <f>1.25*Sheet1!J116</f>
        <v>7.8324999999999996</v>
      </c>
      <c r="K116" s="3">
        <f>1.25*Sheet1!K116</f>
        <v>2.0349999999999997</v>
      </c>
      <c r="L116" s="3">
        <f>1.25*Sheet1!L116</f>
        <v>0</v>
      </c>
      <c r="M116" s="3">
        <f>1.5*Sheet1!M116</f>
        <v>6.9862500000000001</v>
      </c>
      <c r="N116" s="3">
        <f>1.25*Sheet1!N116</f>
        <v>4.8904166666666624</v>
      </c>
      <c r="O116" s="3">
        <f>1.5*Sheet1!O116</f>
        <v>6.8384999999999856</v>
      </c>
      <c r="Q116" s="3">
        <f>1*Sheet1!Q116</f>
        <v>3.9123333333333301</v>
      </c>
      <c r="R116" s="3">
        <f>1.25*Sheet1!R116</f>
        <v>5.698749999999988</v>
      </c>
      <c r="S116" s="3">
        <f>1.5*Sheet1!S116</f>
        <v>13.12125</v>
      </c>
      <c r="T116" s="3">
        <f>1.5*Sheet1!T116</f>
        <v>6.6630000000000003</v>
      </c>
      <c r="U116" s="3">
        <f>0.75*Sheet1!U116</f>
        <v>0.395625</v>
      </c>
      <c r="V116" s="3">
        <f>0.75*Sheet1!V116</f>
        <v>3.1033124999999995</v>
      </c>
      <c r="W116" s="3">
        <f>0.75*Sheet1!W116</f>
        <v>1.4474999999999925</v>
      </c>
      <c r="Y116" s="3">
        <f>1.25*Sheet1!Y116</f>
        <v>4.046875</v>
      </c>
      <c r="Z116" s="3">
        <f>0.5*Sheet1!Z116</f>
        <v>3.16675</v>
      </c>
      <c r="AA116" s="3">
        <f>0.5*Sheet1!AA116</f>
        <v>3.7502499999999999</v>
      </c>
      <c r="AB116" s="3">
        <f>0.5*Sheet1!AB116</f>
        <v>2.5967500000000001</v>
      </c>
      <c r="AD116" s="3">
        <f t="shared" si="1"/>
        <v>88.067562499999937</v>
      </c>
    </row>
    <row r="117" spans="1:30" s="3" customFormat="1" ht="16" x14ac:dyDescent="0.2">
      <c r="A117" s="2">
        <v>115</v>
      </c>
      <c r="B117" s="2" t="s">
        <v>173</v>
      </c>
      <c r="C117" s="2" t="s">
        <v>172</v>
      </c>
      <c r="D117" s="2" t="s">
        <v>16</v>
      </c>
      <c r="F117" s="3">
        <f>0.75*Sheet1!F117</f>
        <v>6.5032499999999995</v>
      </c>
      <c r="G117" s="3">
        <f>1.25*Sheet1!G117</f>
        <v>10.588750000000001</v>
      </c>
      <c r="H117" s="3">
        <f>1.25*Sheet1!H117</f>
        <v>7.8324999999999996</v>
      </c>
      <c r="J117" s="3">
        <f>1.25*Sheet1!J117</f>
        <v>7.8324999999999996</v>
      </c>
      <c r="K117" s="3">
        <f>1.25*Sheet1!K117</f>
        <v>7.0618749999999997</v>
      </c>
      <c r="L117" s="3">
        <f>1.25*Sheet1!L117</f>
        <v>8.0462500000000006</v>
      </c>
      <c r="M117" s="3">
        <f>1.5*Sheet1!M117</f>
        <v>6.9862500000000001</v>
      </c>
      <c r="N117" s="3">
        <f>1.25*Sheet1!N117</f>
        <v>5.0358333333333247</v>
      </c>
      <c r="O117" s="3">
        <f>1.5*Sheet1!O117</f>
        <v>3.0997500000000002</v>
      </c>
      <c r="Q117" s="3">
        <f>1*Sheet1!Q117</f>
        <v>4.02866666666666</v>
      </c>
      <c r="R117" s="3">
        <f>1.25*Sheet1!R117</f>
        <v>2.5831249999999999</v>
      </c>
      <c r="S117" s="3">
        <f>1.5*Sheet1!S117</f>
        <v>10.50075</v>
      </c>
      <c r="T117" s="3">
        <f>1.5*Sheet1!T117</f>
        <v>6.2759999999999856</v>
      </c>
      <c r="U117" s="3">
        <f>0.75*Sheet1!U117</f>
        <v>0.77062499999999257</v>
      </c>
      <c r="V117" s="3">
        <f>0.75*Sheet1!V117</f>
        <v>1.8643125</v>
      </c>
      <c r="W117" s="3">
        <f>0.75*Sheet1!W117</f>
        <v>1.8663750000000001</v>
      </c>
      <c r="Y117" s="3">
        <f>1.25*Sheet1!Y117</f>
        <v>5.6237499999999869</v>
      </c>
      <c r="Z117" s="3">
        <f>0.5*Sheet1!Z117</f>
        <v>4.0730000000000004</v>
      </c>
      <c r="AA117" s="3">
        <f>0.5*Sheet1!AA117</f>
        <v>3.601</v>
      </c>
      <c r="AB117" s="3">
        <f>0.5*Sheet1!AB117</f>
        <v>1.82</v>
      </c>
      <c r="AD117" s="3">
        <f t="shared" si="1"/>
        <v>105.99456249999994</v>
      </c>
    </row>
    <row r="118" spans="1:30" s="3" customFormat="1" ht="16" x14ac:dyDescent="0.2">
      <c r="A118" s="2">
        <v>76</v>
      </c>
      <c r="B118" s="2" t="s">
        <v>174</v>
      </c>
      <c r="C118" s="2" t="s">
        <v>175</v>
      </c>
      <c r="D118" s="2" t="s">
        <v>6</v>
      </c>
      <c r="F118" s="3">
        <f>0.75*Sheet1!F118</f>
        <v>5.1382499999999922</v>
      </c>
      <c r="G118" s="3">
        <f>1.25*Sheet1!G118</f>
        <v>7.9087499999999995</v>
      </c>
      <c r="H118" s="3">
        <f>1.25*Sheet1!H118</f>
        <v>5.4325000000000001</v>
      </c>
      <c r="J118" s="3">
        <f>1.25*Sheet1!J118</f>
        <v>5.4325000000000001</v>
      </c>
      <c r="K118" s="3">
        <f>1.25*Sheet1!K118</f>
        <v>3.6399999999999997</v>
      </c>
      <c r="L118" s="3">
        <f>1.25*Sheet1!L118</f>
        <v>2.2724999999999875</v>
      </c>
      <c r="M118" s="3">
        <f>1.5*Sheet1!M118</f>
        <v>9.7717500000000008</v>
      </c>
      <c r="N118" s="3">
        <f>1.25*Sheet1!N118</f>
        <v>10.838749999999999</v>
      </c>
      <c r="O118" s="3">
        <f>1.5*Sheet1!O118</f>
        <v>12.714749999999999</v>
      </c>
      <c r="Q118" s="3">
        <f>1*Sheet1!Q118</f>
        <v>8.6709999999999994</v>
      </c>
      <c r="R118" s="3">
        <f>1.25*Sheet1!R118</f>
        <v>10.595625</v>
      </c>
      <c r="S118" s="3">
        <f>1.5*Sheet1!S118</f>
        <v>10.475999999999999</v>
      </c>
      <c r="T118" s="3">
        <f>1.5*Sheet1!T118</f>
        <v>10.063499999999999</v>
      </c>
      <c r="U118" s="3">
        <f>0.75*Sheet1!U118</f>
        <v>2.718375</v>
      </c>
      <c r="V118" s="3">
        <f>0.75*Sheet1!V118</f>
        <v>6.5116874999999999</v>
      </c>
      <c r="W118" s="3">
        <f>0.75*Sheet1!W118</f>
        <v>1.0342500000000001</v>
      </c>
      <c r="Y118" s="3">
        <f>1.25*Sheet1!Y118</f>
        <v>7.1224999999999872</v>
      </c>
      <c r="Z118" s="3">
        <f>0.5*Sheet1!Z118</f>
        <v>3.0332499999999998</v>
      </c>
      <c r="AA118" s="3">
        <f>0.5*Sheet1!AA118</f>
        <v>1.64975</v>
      </c>
      <c r="AB118" s="3">
        <f>0.5*Sheet1!AB118</f>
        <v>1.036125</v>
      </c>
      <c r="AD118" s="3">
        <f t="shared" si="1"/>
        <v>126.06181249999995</v>
      </c>
    </row>
    <row r="119" spans="1:30" s="3" customFormat="1" ht="16" x14ac:dyDescent="0.2">
      <c r="A119" s="2">
        <v>240</v>
      </c>
      <c r="B119" s="2" t="s">
        <v>176</v>
      </c>
      <c r="C119" s="2" t="s">
        <v>177</v>
      </c>
      <c r="D119" s="2" t="s">
        <v>16</v>
      </c>
      <c r="F119" s="3">
        <f>0.75*Sheet1!F119</f>
        <v>6.2272499999999926</v>
      </c>
      <c r="G119" s="3">
        <f>1.25*Sheet1!G119</f>
        <v>11.93</v>
      </c>
      <c r="H119" s="3">
        <f>1.25*Sheet1!H119</f>
        <v>5.0656250000000007</v>
      </c>
      <c r="J119" s="3">
        <f>1.25*Sheet1!J119</f>
        <v>5.0656250000000007</v>
      </c>
      <c r="K119" s="3">
        <f>1.25*Sheet1!K119</f>
        <v>5.4831249999999994</v>
      </c>
      <c r="L119" s="3">
        <f>1.25*Sheet1!L119</f>
        <v>0</v>
      </c>
      <c r="M119" s="3">
        <f>1.5*Sheet1!M119</f>
        <v>5.9152499999999995</v>
      </c>
      <c r="N119" s="3">
        <f>1.25*Sheet1!N119</f>
        <v>5.4283333333333248</v>
      </c>
      <c r="O119" s="3">
        <f>1.5*Sheet1!O119</f>
        <v>6.3337500000000002</v>
      </c>
      <c r="Q119" s="3">
        <f>1*Sheet1!Q119</f>
        <v>4.34266666666666</v>
      </c>
      <c r="R119" s="3">
        <f>1.25*Sheet1!R119</f>
        <v>5.2781250000000002</v>
      </c>
      <c r="S119" s="3">
        <f>1.5*Sheet1!S119</f>
        <v>10.189499999999985</v>
      </c>
      <c r="T119" s="3">
        <f>1.5*Sheet1!T119</f>
        <v>7.9684999999999944</v>
      </c>
      <c r="U119" s="3">
        <f>0.75*Sheet1!U119</f>
        <v>0.38250000000000001</v>
      </c>
      <c r="V119" s="3">
        <f>0.75*Sheet1!V119</f>
        <v>2.2068750000000001</v>
      </c>
      <c r="W119" s="3">
        <f>0.75*Sheet1!W119</f>
        <v>2.3812499999999996</v>
      </c>
      <c r="Y119" s="3">
        <f>1.25*Sheet1!Y119</f>
        <v>1.9699999999999875</v>
      </c>
      <c r="Z119" s="3">
        <f>0.5*Sheet1!Z119</f>
        <v>3.2605</v>
      </c>
      <c r="AA119" s="3">
        <f>0.5*Sheet1!AA119</f>
        <v>2.7499999999999951</v>
      </c>
      <c r="AB119" s="3">
        <f>0.5*Sheet1!AB119</f>
        <v>1.89975</v>
      </c>
      <c r="AD119" s="3">
        <f t="shared" si="1"/>
        <v>94.078624999999917</v>
      </c>
    </row>
    <row r="120" spans="1:30" s="3" customFormat="1" ht="16" x14ac:dyDescent="0.2">
      <c r="A120" s="2">
        <v>70</v>
      </c>
      <c r="B120" s="2" t="s">
        <v>178</v>
      </c>
      <c r="C120" s="2" t="s">
        <v>179</v>
      </c>
      <c r="D120" s="2" t="s">
        <v>26</v>
      </c>
      <c r="F120" s="3">
        <f>0.75*Sheet1!F120</f>
        <v>4.1358750000000004</v>
      </c>
      <c r="G120" s="3">
        <f>1.25*Sheet1!G120</f>
        <v>6.1275000000000004</v>
      </c>
      <c r="H120" s="3">
        <f>1.25*Sheet1!H120</f>
        <v>7.8187499999999872</v>
      </c>
      <c r="J120" s="3">
        <f>1.25*Sheet1!J120</f>
        <v>7.8187499999999872</v>
      </c>
      <c r="K120" s="3">
        <f>1.25*Sheet1!K120</f>
        <v>4.984375</v>
      </c>
      <c r="L120" s="3">
        <f>1.25*Sheet1!L120</f>
        <v>3.5874999999999875</v>
      </c>
      <c r="M120" s="3">
        <f>1.5*Sheet1!M120</f>
        <v>11.271750000000001</v>
      </c>
      <c r="N120" s="3">
        <f>1.25*Sheet1!N120</f>
        <v>10.432083333333324</v>
      </c>
      <c r="O120" s="3">
        <f>1.5*Sheet1!O120</f>
        <v>12.94575</v>
      </c>
      <c r="Q120" s="3">
        <f>1*Sheet1!Q120</f>
        <v>8.3456666666666592</v>
      </c>
      <c r="R120" s="3">
        <f>1.25*Sheet1!R120</f>
        <v>10.788124999999999</v>
      </c>
      <c r="S120" s="3">
        <f>1.5*Sheet1!S120</f>
        <v>13.259249999999998</v>
      </c>
      <c r="T120" s="3">
        <f>1.5*Sheet1!T120</f>
        <v>11.139499999999995</v>
      </c>
      <c r="U120" s="3">
        <f>0.75*Sheet1!U120</f>
        <v>3.6592499999999997</v>
      </c>
      <c r="V120" s="3">
        <f>0.75*Sheet1!V120</f>
        <v>6.0095625000000004</v>
      </c>
      <c r="W120" s="3">
        <f>0.75*Sheet1!W120</f>
        <v>1.7711250000000001</v>
      </c>
      <c r="Y120" s="3">
        <f>1.25*Sheet1!Y120</f>
        <v>11.429999999999987</v>
      </c>
      <c r="Z120" s="3">
        <f>0.5*Sheet1!Z120</f>
        <v>1.2657499999999999</v>
      </c>
      <c r="AA120" s="3">
        <f>0.5*Sheet1!AA120</f>
        <v>0.25</v>
      </c>
      <c r="AB120" s="3">
        <f>0.5*Sheet1!AB120</f>
        <v>2.7521249999999999</v>
      </c>
      <c r="AD120" s="3">
        <f t="shared" si="1"/>
        <v>139.79268749999991</v>
      </c>
    </row>
    <row r="121" spans="1:30" s="3" customFormat="1" ht="16" x14ac:dyDescent="0.2">
      <c r="A121" s="2">
        <v>81</v>
      </c>
      <c r="B121" s="2" t="s">
        <v>180</v>
      </c>
      <c r="C121" s="2" t="s">
        <v>179</v>
      </c>
      <c r="D121" s="2" t="s">
        <v>26</v>
      </c>
      <c r="F121" s="3">
        <f>0.75*Sheet1!F121</f>
        <v>1.8843749999999924</v>
      </c>
      <c r="G121" s="3">
        <f>1.25*Sheet1!G121</f>
        <v>5.0062499999999996</v>
      </c>
      <c r="H121" s="3">
        <f>1.25*Sheet1!H121</f>
        <v>7.8187499999999872</v>
      </c>
      <c r="J121" s="3">
        <f>1.25*Sheet1!J121</f>
        <v>7.8187499999999872</v>
      </c>
      <c r="K121" s="3">
        <f>1.25*Sheet1!K121</f>
        <v>7.0637499999999998</v>
      </c>
      <c r="L121" s="3">
        <f>1.25*Sheet1!L121</f>
        <v>7.7549999999999999</v>
      </c>
      <c r="M121" s="3">
        <f>1.5*Sheet1!M121</f>
        <v>11.271750000000001</v>
      </c>
      <c r="N121" s="3">
        <f>1.25*Sheet1!N121</f>
        <v>10.432083333333324</v>
      </c>
      <c r="O121" s="3">
        <f>1.5*Sheet1!O121</f>
        <v>10.992000000000001</v>
      </c>
      <c r="Q121" s="3">
        <f>1*Sheet1!Q121</f>
        <v>8.3456666666666592</v>
      </c>
      <c r="R121" s="3">
        <f>1.25*Sheet1!R121</f>
        <v>9.16</v>
      </c>
      <c r="S121" s="3">
        <f>1.5*Sheet1!S121</f>
        <v>10.682249999999986</v>
      </c>
      <c r="T121" s="3">
        <f>1.5*Sheet1!T121</f>
        <v>10.215499999999995</v>
      </c>
      <c r="U121" s="3">
        <f>0.75*Sheet1!U121</f>
        <v>4.2048749999999995</v>
      </c>
      <c r="V121" s="3">
        <f>0.75*Sheet1!V121</f>
        <v>4.876125</v>
      </c>
      <c r="W121" s="3">
        <f>0.75*Sheet1!W121</f>
        <v>3.5711249999999999</v>
      </c>
      <c r="Y121" s="3">
        <f>1.25*Sheet1!Y121</f>
        <v>10.429375</v>
      </c>
      <c r="Z121" s="3">
        <f>0.5*Sheet1!Z121</f>
        <v>3.56725</v>
      </c>
      <c r="AA121" s="3">
        <f>0.5*Sheet1!AA121</f>
        <v>2.8319999999999999</v>
      </c>
      <c r="AB121" s="3">
        <f>0.5*Sheet1!AB121</f>
        <v>2.723125</v>
      </c>
      <c r="AD121" s="3">
        <f t="shared" si="1"/>
        <v>140.64999999999992</v>
      </c>
    </row>
    <row r="122" spans="1:30" s="3" customFormat="1" ht="16" x14ac:dyDescent="0.2">
      <c r="A122" s="2">
        <v>92</v>
      </c>
      <c r="B122" s="2" t="s">
        <v>181</v>
      </c>
      <c r="C122" s="2" t="s">
        <v>179</v>
      </c>
      <c r="D122" s="2" t="s">
        <v>26</v>
      </c>
      <c r="F122" s="3">
        <f>0.75*Sheet1!F122</f>
        <v>4.7066249999999998</v>
      </c>
      <c r="G122" s="3">
        <f>1.25*Sheet1!G122</f>
        <v>6.1587499999999995</v>
      </c>
      <c r="H122" s="3">
        <f>1.25*Sheet1!H122</f>
        <v>7.8187499999999872</v>
      </c>
      <c r="J122" s="3">
        <f>1.25*Sheet1!J122</f>
        <v>7.8187499999999872</v>
      </c>
      <c r="K122" s="3">
        <f>1.25*Sheet1!K122</f>
        <v>3.1724999999999999</v>
      </c>
      <c r="L122" s="3">
        <f>1.25*Sheet1!L122</f>
        <v>3.1950000000000003</v>
      </c>
      <c r="M122" s="3">
        <f>1.5*Sheet1!M122</f>
        <v>11.271750000000001</v>
      </c>
      <c r="N122" s="3">
        <f>1.25*Sheet1!N122</f>
        <v>10.432083333333324</v>
      </c>
      <c r="O122" s="3">
        <f>1.5*Sheet1!O122</f>
        <v>13.050749999999983</v>
      </c>
      <c r="Q122" s="3">
        <f>1*Sheet1!Q122</f>
        <v>8.3456666666666592</v>
      </c>
      <c r="R122" s="3">
        <f>1.25*Sheet1!R122</f>
        <v>10.875624999999987</v>
      </c>
      <c r="S122" s="3">
        <f>1.5*Sheet1!S122</f>
        <v>13.335000000000001</v>
      </c>
      <c r="T122" s="3">
        <f>1.5*Sheet1!T122</f>
        <v>10.604999999999984</v>
      </c>
      <c r="U122" s="3">
        <f>0.75*Sheet1!U122</f>
        <v>3.7556250000000002</v>
      </c>
      <c r="V122" s="3">
        <f>0.75*Sheet1!V122</f>
        <v>5.6390624999999996</v>
      </c>
      <c r="W122" s="3">
        <f>0.75*Sheet1!W122</f>
        <v>1.7711250000000001</v>
      </c>
      <c r="Y122" s="3">
        <f>1.25*Sheet1!Y122</f>
        <v>9.5468749999999876</v>
      </c>
      <c r="Z122" s="3">
        <f>0.5*Sheet1!Z122</f>
        <v>0.5575</v>
      </c>
      <c r="AA122" s="3">
        <f>0.5*Sheet1!AA122</f>
        <v>1.8562499999999951</v>
      </c>
      <c r="AB122" s="3">
        <f>0.5*Sheet1!AB122</f>
        <v>2.844875</v>
      </c>
      <c r="AD122" s="3">
        <f t="shared" si="1"/>
        <v>136.75756249999989</v>
      </c>
    </row>
    <row r="123" spans="1:30" s="3" customFormat="1" ht="16" x14ac:dyDescent="0.2">
      <c r="A123" s="2">
        <v>241</v>
      </c>
      <c r="B123" s="2" t="s">
        <v>182</v>
      </c>
      <c r="C123" s="2" t="s">
        <v>183</v>
      </c>
      <c r="D123" s="2" t="s">
        <v>16</v>
      </c>
      <c r="F123" s="3">
        <f>0.75*Sheet1!F123</f>
        <v>3.6825000000000001</v>
      </c>
      <c r="G123" s="3">
        <f>1.25*Sheet1!G123</f>
        <v>5.4625000000000004</v>
      </c>
      <c r="H123" s="3">
        <f>1.25*Sheet1!H123</f>
        <v>8.6468750000000014</v>
      </c>
      <c r="J123" s="3">
        <f>1.25*Sheet1!J123</f>
        <v>8.6468750000000014</v>
      </c>
      <c r="K123" s="3">
        <f>1.25*Sheet1!K123</f>
        <v>9.1581250000000001</v>
      </c>
      <c r="L123" s="3">
        <f>1.25*Sheet1!L123</f>
        <v>11.45</v>
      </c>
      <c r="M123" s="3">
        <f>1.5*Sheet1!M123</f>
        <v>7.5397500000000006</v>
      </c>
      <c r="N123" s="3">
        <f>1.25*Sheet1!N123</f>
        <v>8.4874999999999883</v>
      </c>
      <c r="O123" s="3">
        <f>1.5*Sheet1!O123</f>
        <v>8.2740000000000009</v>
      </c>
      <c r="Q123" s="3">
        <f>1*Sheet1!Q123</f>
        <v>6.7899999999999903</v>
      </c>
      <c r="R123" s="3">
        <f>1.25*Sheet1!R123</f>
        <v>6.8949999999999996</v>
      </c>
      <c r="S123" s="3">
        <f>1.5*Sheet1!S123</f>
        <v>12.00975</v>
      </c>
      <c r="T123" s="3">
        <f>1.5*Sheet1!T123</f>
        <v>12.506999999999998</v>
      </c>
      <c r="U123" s="3">
        <f>0.75*Sheet1!U123</f>
        <v>2.824875</v>
      </c>
      <c r="V123" s="3">
        <f>0.75*Sheet1!V123</f>
        <v>4.5200624999999999</v>
      </c>
      <c r="W123" s="3">
        <f>0.75*Sheet1!W123</f>
        <v>2.50875</v>
      </c>
      <c r="Y123" s="3">
        <f>1.25*Sheet1!Y123</f>
        <v>3.2074999999999996</v>
      </c>
      <c r="Z123" s="3">
        <f>0.5*Sheet1!Z123</f>
        <v>2.66675</v>
      </c>
      <c r="AA123" s="3">
        <f>0.5*Sheet1!AA123</f>
        <v>2.7062499999999998</v>
      </c>
      <c r="AB123" s="3">
        <f>0.5*Sheet1!AB123</f>
        <v>2.4971249999999952</v>
      </c>
      <c r="AD123" s="3">
        <f t="shared" si="1"/>
        <v>130.48118749999995</v>
      </c>
    </row>
    <row r="124" spans="1:30" s="3" customFormat="1" ht="16" x14ac:dyDescent="0.2">
      <c r="A124" s="2">
        <v>33</v>
      </c>
      <c r="B124" s="2" t="s">
        <v>184</v>
      </c>
      <c r="C124" s="2" t="s">
        <v>185</v>
      </c>
      <c r="D124" s="2" t="s">
        <v>26</v>
      </c>
      <c r="F124" s="3">
        <f>0.75*Sheet1!F124</f>
        <v>5.6039999999999921</v>
      </c>
      <c r="G124" s="3">
        <f>1.25*Sheet1!G124</f>
        <v>6.4862500000000001</v>
      </c>
      <c r="H124" s="3">
        <f>1.25*Sheet1!H124</f>
        <v>3.0456250000000002</v>
      </c>
      <c r="J124" s="3">
        <f>1.25*Sheet1!J124</f>
        <v>3.0456250000000002</v>
      </c>
      <c r="K124" s="3">
        <f>1.25*Sheet1!K124</f>
        <v>3.9356249999999999</v>
      </c>
      <c r="L124" s="3">
        <f>1.25*Sheet1!L124</f>
        <v>1.7462499999999874</v>
      </c>
      <c r="M124" s="3">
        <f>1.5*Sheet1!M124</f>
        <v>5.0437499999999993</v>
      </c>
      <c r="N124" s="3">
        <f>1.25*Sheet1!N124</f>
        <v>7.7370833333333255</v>
      </c>
      <c r="O124" s="3">
        <f>1.5*Sheet1!O124</f>
        <v>11.427</v>
      </c>
      <c r="Q124" s="3">
        <f>1*Sheet1!Q124</f>
        <v>6.1896666666666604</v>
      </c>
      <c r="R124" s="3">
        <f>1.25*Sheet1!R124</f>
        <v>9.5225000000000009</v>
      </c>
      <c r="S124" s="3">
        <f>1.5*Sheet1!S124</f>
        <v>11.0055</v>
      </c>
      <c r="T124" s="3">
        <f>1.5*Sheet1!T124</f>
        <v>12.866499999999991</v>
      </c>
      <c r="U124" s="3">
        <f>0.75*Sheet1!U124</f>
        <v>3.1518749999999995</v>
      </c>
      <c r="V124" s="3">
        <f>0.75*Sheet1!V124</f>
        <v>4.0951874999999998</v>
      </c>
      <c r="W124" s="3">
        <f>0.75*Sheet1!W124</f>
        <v>2.7614999999999998</v>
      </c>
      <c r="Y124" s="3">
        <f>1.25*Sheet1!Y124</f>
        <v>9.6381249999999987</v>
      </c>
      <c r="Z124" s="3">
        <f>0.5*Sheet1!Z124</f>
        <v>2.8679999999999999</v>
      </c>
      <c r="AA124" s="3">
        <f>0.5*Sheet1!AA124</f>
        <v>0.79074999999999995</v>
      </c>
      <c r="AB124" s="3">
        <f>0.5*Sheet1!AB124</f>
        <v>2.7650000000000001</v>
      </c>
      <c r="AD124" s="3">
        <f t="shared" si="1"/>
        <v>113.72581249999996</v>
      </c>
    </row>
    <row r="125" spans="1:30" s="3" customFormat="1" ht="16" x14ac:dyDescent="0.2">
      <c r="A125" s="2">
        <v>87</v>
      </c>
      <c r="B125" s="2" t="s">
        <v>186</v>
      </c>
      <c r="C125" s="2" t="s">
        <v>185</v>
      </c>
      <c r="D125" s="2" t="s">
        <v>26</v>
      </c>
      <c r="F125" s="3">
        <f>0.75*Sheet1!F125</f>
        <v>5.0812500000000007</v>
      </c>
      <c r="G125" s="3">
        <f>1.25*Sheet1!G125</f>
        <v>5.8112500000000002</v>
      </c>
      <c r="H125" s="3">
        <f>1.25*Sheet1!H125</f>
        <v>3.0456250000000002</v>
      </c>
      <c r="J125" s="3">
        <f>1.25*Sheet1!J125</f>
        <v>3.0456250000000002</v>
      </c>
      <c r="K125" s="3">
        <f>1.25*Sheet1!K125</f>
        <v>2.7843749999999874</v>
      </c>
      <c r="L125" s="3">
        <f>1.25*Sheet1!L125</f>
        <v>0</v>
      </c>
      <c r="M125" s="3">
        <f>1.5*Sheet1!M125</f>
        <v>5.0437499999999993</v>
      </c>
      <c r="N125" s="3">
        <f>1.25*Sheet1!N125</f>
        <v>7.7370833333333255</v>
      </c>
      <c r="O125" s="3">
        <f>1.5*Sheet1!O125</f>
        <v>10.103249999999999</v>
      </c>
      <c r="Q125" s="3">
        <f>1*Sheet1!Q125</f>
        <v>6.1896666666666604</v>
      </c>
      <c r="R125" s="3">
        <f>1.25*Sheet1!R125</f>
        <v>8.4193750000000005</v>
      </c>
      <c r="S125" s="3">
        <f>1.5*Sheet1!S125</f>
        <v>11.95875</v>
      </c>
      <c r="T125" s="3">
        <f>1.5*Sheet1!T125</f>
        <v>12.245499999999991</v>
      </c>
      <c r="U125" s="3">
        <f>0.75*Sheet1!U125</f>
        <v>3.0434999999999999</v>
      </c>
      <c r="V125" s="3">
        <f>0.75*Sheet1!V125</f>
        <v>4.5067500000000003</v>
      </c>
      <c r="W125" s="3">
        <f>0.75*Sheet1!W125</f>
        <v>3.2294999999999998</v>
      </c>
      <c r="Y125" s="3">
        <f>1.25*Sheet1!Y125</f>
        <v>5.551874999999999</v>
      </c>
      <c r="Z125" s="3">
        <f>0.5*Sheet1!Z125</f>
        <v>4.251749999999995</v>
      </c>
      <c r="AA125" s="3">
        <f>0.5*Sheet1!AA125</f>
        <v>0.83849999999999503</v>
      </c>
      <c r="AB125" s="3">
        <f>0.5*Sheet1!AB125</f>
        <v>3.0143749999999998</v>
      </c>
      <c r="AD125" s="3">
        <f t="shared" si="1"/>
        <v>105.90174999999996</v>
      </c>
    </row>
    <row r="126" spans="1:30" s="3" customFormat="1" ht="16" x14ac:dyDescent="0.2">
      <c r="A126" s="2">
        <v>157</v>
      </c>
      <c r="B126" s="2" t="s">
        <v>187</v>
      </c>
      <c r="C126" s="2" t="s">
        <v>185</v>
      </c>
      <c r="D126" s="2" t="s">
        <v>26</v>
      </c>
      <c r="F126" s="3">
        <f>0.75*Sheet1!F126</f>
        <v>3.8958749999999998</v>
      </c>
      <c r="G126" s="3">
        <f>1.25*Sheet1!G126</f>
        <v>6.0012500000000006</v>
      </c>
      <c r="H126" s="3">
        <f>1.25*Sheet1!H126</f>
        <v>3.0456250000000002</v>
      </c>
      <c r="J126" s="3">
        <f>1.25*Sheet1!J126</f>
        <v>3.0456250000000002</v>
      </c>
      <c r="K126" s="3">
        <f>1.25*Sheet1!K126</f>
        <v>6.4881249999999877</v>
      </c>
      <c r="L126" s="3">
        <f>1.25*Sheet1!L126</f>
        <v>4.1074999999999999</v>
      </c>
      <c r="M126" s="3">
        <f>1.5*Sheet1!M126</f>
        <v>5.0437499999999993</v>
      </c>
      <c r="N126" s="3">
        <f>1.25*Sheet1!N126</f>
        <v>7.7370833333333255</v>
      </c>
      <c r="O126" s="3">
        <f>1.5*Sheet1!O126</f>
        <v>10.82925</v>
      </c>
      <c r="Q126" s="3">
        <f>1*Sheet1!Q126</f>
        <v>6.1896666666666604</v>
      </c>
      <c r="R126" s="3">
        <f>1.25*Sheet1!R126</f>
        <v>9.0243749999999991</v>
      </c>
      <c r="S126" s="3">
        <f>1.5*Sheet1!S126</f>
        <v>11.067</v>
      </c>
      <c r="T126" s="3">
        <f>1.5*Sheet1!T126</f>
        <v>12.666999999999989</v>
      </c>
      <c r="U126" s="3">
        <f>0.75*Sheet1!U126</f>
        <v>3.21225</v>
      </c>
      <c r="V126" s="3">
        <f>0.75*Sheet1!V126</f>
        <v>3.3435000000000001</v>
      </c>
      <c r="W126" s="3">
        <f>0.75*Sheet1!W126</f>
        <v>5.0122499999999999</v>
      </c>
      <c r="Y126" s="3">
        <f>1.25*Sheet1!Y126</f>
        <v>6.2674999999999867</v>
      </c>
      <c r="Z126" s="3">
        <f>0.5*Sheet1!Z126</f>
        <v>3.9584999999999999</v>
      </c>
      <c r="AA126" s="3">
        <f>0.5*Sheet1!AA126</f>
        <v>2.8205</v>
      </c>
      <c r="AB126" s="3">
        <f>0.5*Sheet1!AB126</f>
        <v>2.7559999999999998</v>
      </c>
      <c r="AD126" s="3">
        <f t="shared" si="1"/>
        <v>116.51262499999996</v>
      </c>
    </row>
    <row r="127" spans="1:30" s="3" customFormat="1" ht="16" x14ac:dyDescent="0.2">
      <c r="A127" s="2">
        <v>168</v>
      </c>
      <c r="B127" s="2" t="s">
        <v>188</v>
      </c>
      <c r="C127" s="2" t="s">
        <v>185</v>
      </c>
      <c r="D127" s="2" t="s">
        <v>26</v>
      </c>
      <c r="F127" s="3">
        <f>0.75*Sheet1!F127</f>
        <v>6.1612499999999999</v>
      </c>
      <c r="G127" s="3">
        <f>1.25*Sheet1!G127</f>
        <v>7.2624999999999993</v>
      </c>
      <c r="H127" s="3">
        <f>1.25*Sheet1!H127</f>
        <v>3.0456250000000002</v>
      </c>
      <c r="J127" s="3">
        <f>1.25*Sheet1!J127</f>
        <v>3.0456250000000002</v>
      </c>
      <c r="K127" s="3">
        <f>1.25*Sheet1!K127</f>
        <v>2.5506250000000001</v>
      </c>
      <c r="L127" s="3">
        <f>1.25*Sheet1!L127</f>
        <v>0</v>
      </c>
      <c r="M127" s="3">
        <f>1.5*Sheet1!M127</f>
        <v>5.0437499999999993</v>
      </c>
      <c r="N127" s="3">
        <f>1.25*Sheet1!N127</f>
        <v>7.7370833333333255</v>
      </c>
      <c r="O127" s="3">
        <f>1.5*Sheet1!O127</f>
        <v>10.13025</v>
      </c>
      <c r="Q127" s="3">
        <f>1*Sheet1!Q127</f>
        <v>6.1896666666666604</v>
      </c>
      <c r="R127" s="3">
        <f>1.25*Sheet1!R127</f>
        <v>8.4418749999999996</v>
      </c>
      <c r="S127" s="3">
        <f>1.5*Sheet1!S127</f>
        <v>9.5842500000000008</v>
      </c>
      <c r="T127" s="3">
        <f>1.5*Sheet1!T127</f>
        <v>10.779499999999995</v>
      </c>
      <c r="U127" s="3">
        <f>0.75*Sheet1!U127</f>
        <v>3.0434999999999999</v>
      </c>
      <c r="V127" s="3">
        <f>0.75*Sheet1!V127</f>
        <v>1.2421875</v>
      </c>
      <c r="W127" s="3">
        <f>0.75*Sheet1!W127</f>
        <v>2.9557500000000001</v>
      </c>
      <c r="Y127" s="3">
        <f>1.25*Sheet1!Y127</f>
        <v>6.6425000000000001</v>
      </c>
      <c r="Z127" s="3">
        <f>0.5*Sheet1!Z127</f>
        <v>3.0225</v>
      </c>
      <c r="AA127" s="3">
        <f>0.5*Sheet1!AA127</f>
        <v>2.6795</v>
      </c>
      <c r="AB127" s="3">
        <f>0.5*Sheet1!AB127</f>
        <v>2.352875</v>
      </c>
      <c r="AD127" s="3">
        <f t="shared" si="1"/>
        <v>101.91081249999996</v>
      </c>
    </row>
    <row r="128" spans="1:30" s="3" customFormat="1" ht="16" x14ac:dyDescent="0.2">
      <c r="A128" s="2">
        <v>206</v>
      </c>
      <c r="B128" s="2" t="s">
        <v>189</v>
      </c>
      <c r="C128" s="2" t="s">
        <v>185</v>
      </c>
      <c r="D128" s="2" t="s">
        <v>26</v>
      </c>
      <c r="F128" s="3">
        <f>0.75*Sheet1!F128</f>
        <v>4.2018750000000002</v>
      </c>
      <c r="G128" s="3">
        <f>1.25*Sheet1!G128</f>
        <v>6.6537500000000005</v>
      </c>
      <c r="H128" s="3">
        <f>1.25*Sheet1!H128</f>
        <v>3.0456250000000002</v>
      </c>
      <c r="J128" s="3">
        <f>1.25*Sheet1!J128</f>
        <v>3.0456250000000002</v>
      </c>
      <c r="K128" s="3">
        <f>1.25*Sheet1!K128</f>
        <v>5.8431250000000006</v>
      </c>
      <c r="L128" s="3">
        <f>1.25*Sheet1!L128</f>
        <v>1.2662499999999999</v>
      </c>
      <c r="M128" s="3">
        <f>1.5*Sheet1!M128</f>
        <v>5.0437499999999993</v>
      </c>
      <c r="N128" s="3">
        <f>1.25*Sheet1!N128</f>
        <v>7.7370833333333255</v>
      </c>
      <c r="O128" s="3">
        <f>1.5*Sheet1!O128</f>
        <v>9.3322500000000002</v>
      </c>
      <c r="Q128" s="3">
        <f>1*Sheet1!Q128</f>
        <v>6.1896666666666604</v>
      </c>
      <c r="R128" s="3">
        <f>1.25*Sheet1!R128</f>
        <v>7.7768749999999995</v>
      </c>
      <c r="S128" s="3">
        <f>1.5*Sheet1!S128</f>
        <v>9.9067499999999988</v>
      </c>
      <c r="T128" s="3">
        <f>1.5*Sheet1!T128</f>
        <v>11.79549999999999</v>
      </c>
      <c r="U128" s="3">
        <f>0.75*Sheet1!U128</f>
        <v>3.11775</v>
      </c>
      <c r="V128" s="3">
        <f>0.75*Sheet1!V128</f>
        <v>3.2073749999999923</v>
      </c>
      <c r="W128" s="3">
        <f>0.75*Sheet1!W128</f>
        <v>4.8251249999999999</v>
      </c>
      <c r="Y128" s="3">
        <f>1.25*Sheet1!Y128</f>
        <v>5.6137499999999996</v>
      </c>
      <c r="Z128" s="3">
        <f>0.5*Sheet1!Z128</f>
        <v>4.5549999999999997</v>
      </c>
      <c r="AA128" s="3">
        <f>0.5*Sheet1!AA128</f>
        <v>3.198</v>
      </c>
      <c r="AB128" s="3">
        <f>0.5*Sheet1!AB128</f>
        <v>2.2666249999999999</v>
      </c>
      <c r="AD128" s="3">
        <f t="shared" si="1"/>
        <v>108.62174999999998</v>
      </c>
    </row>
    <row r="129" spans="1:30" s="3" customFormat="1" ht="16" x14ac:dyDescent="0.2">
      <c r="A129" s="2">
        <v>248</v>
      </c>
      <c r="B129" s="2" t="s">
        <v>190</v>
      </c>
      <c r="C129" s="2" t="s">
        <v>185</v>
      </c>
      <c r="D129" s="2" t="s">
        <v>26</v>
      </c>
      <c r="F129" s="3">
        <f>0.75*Sheet1!F129</f>
        <v>6.0521250000000002</v>
      </c>
      <c r="G129" s="3">
        <f>1.25*Sheet1!G129</f>
        <v>7.0150000000000006</v>
      </c>
      <c r="H129" s="3">
        <f>1.25*Sheet1!H129</f>
        <v>3.0456250000000002</v>
      </c>
      <c r="J129" s="3">
        <f>1.25*Sheet1!J129</f>
        <v>3.0456250000000002</v>
      </c>
      <c r="K129" s="3">
        <f>1.25*Sheet1!K129</f>
        <v>4.0625</v>
      </c>
      <c r="L129" s="3">
        <f>1.25*Sheet1!L129</f>
        <v>0</v>
      </c>
      <c r="M129" s="3">
        <f>1.5*Sheet1!M129</f>
        <v>5.0437499999999993</v>
      </c>
      <c r="N129" s="3">
        <f>1.25*Sheet1!N129</f>
        <v>7.7370833333333255</v>
      </c>
      <c r="O129" s="3">
        <f>1.5*Sheet1!O129</f>
        <v>8.6654999999999998</v>
      </c>
      <c r="Q129" s="3">
        <f>1*Sheet1!Q129</f>
        <v>6.1896666666666604</v>
      </c>
      <c r="R129" s="3">
        <f>1.25*Sheet1!R129</f>
        <v>7.2212500000000004</v>
      </c>
      <c r="S129" s="3">
        <f>1.5*Sheet1!S129</f>
        <v>9.3780000000000001</v>
      </c>
      <c r="T129" s="3">
        <f>1.5*Sheet1!T129</f>
        <v>12.55149999999999</v>
      </c>
      <c r="U129" s="3">
        <f>0.75*Sheet1!U129</f>
        <v>3.0761249999999998</v>
      </c>
      <c r="V129" s="3">
        <f>0.75*Sheet1!V129</f>
        <v>2.9141249999999999</v>
      </c>
      <c r="W129" s="3">
        <f>0.75*Sheet1!W129</f>
        <v>2.3621250000000003</v>
      </c>
      <c r="Y129" s="3">
        <f>1.25*Sheet1!Y129</f>
        <v>2.9612499999999873</v>
      </c>
      <c r="Z129" s="3">
        <f>0.5*Sheet1!Z129</f>
        <v>3.5305</v>
      </c>
      <c r="AA129" s="3">
        <f>0.5*Sheet1!AA129</f>
        <v>2.8525</v>
      </c>
      <c r="AB129" s="3">
        <f>0.5*Sheet1!AB129</f>
        <v>2.8046250000000001</v>
      </c>
      <c r="AD129" s="3">
        <f t="shared" si="1"/>
        <v>100.50887499999999</v>
      </c>
    </row>
    <row r="130" spans="1:30" s="3" customFormat="1" ht="16" x14ac:dyDescent="0.2">
      <c r="A130" s="2">
        <v>121</v>
      </c>
      <c r="B130" s="2" t="s">
        <v>191</v>
      </c>
      <c r="C130" s="2" t="s">
        <v>192</v>
      </c>
      <c r="D130" s="2" t="s">
        <v>6</v>
      </c>
      <c r="F130" s="3">
        <f>0.75*Sheet1!F130</f>
        <v>6.6716250000000006</v>
      </c>
      <c r="G130" s="3">
        <f>1.25*Sheet1!G130</f>
        <v>7.4212500000000006</v>
      </c>
      <c r="H130" s="3">
        <f>1.25*Sheet1!H130</f>
        <v>7.5918749999999875</v>
      </c>
      <c r="J130" s="3">
        <f>1.25*Sheet1!J130</f>
        <v>7.5918749999999875</v>
      </c>
      <c r="K130" s="3">
        <f>1.25*Sheet1!K130</f>
        <v>3.31</v>
      </c>
      <c r="L130" s="3">
        <f>1.25*Sheet1!L130</f>
        <v>0</v>
      </c>
      <c r="M130" s="3">
        <f>1.5*Sheet1!M130</f>
        <v>2.7442500000000001</v>
      </c>
      <c r="N130" s="3">
        <f>1.25*Sheet1!N130</f>
        <v>8.2095833333333239</v>
      </c>
      <c r="O130" s="3">
        <f>1.5*Sheet1!O130</f>
        <v>4.2652499999999849</v>
      </c>
      <c r="Q130" s="3">
        <f>1*Sheet1!Q130</f>
        <v>6.5676666666666597</v>
      </c>
      <c r="R130" s="3">
        <f>1.25*Sheet1!R130</f>
        <v>3.5543749999999874</v>
      </c>
      <c r="S130" s="3">
        <f>1.5*Sheet1!S130</f>
        <v>8.2912499999999998</v>
      </c>
      <c r="T130" s="3">
        <f>1.5*Sheet1!T130</f>
        <v>10.016999999999985</v>
      </c>
      <c r="U130" s="3">
        <f>0.75*Sheet1!U130</f>
        <v>0</v>
      </c>
      <c r="V130" s="3">
        <f>0.75*Sheet1!V130</f>
        <v>2.2651874999999997</v>
      </c>
      <c r="W130" s="3">
        <f>0.75*Sheet1!W130</f>
        <v>0.61087500000000006</v>
      </c>
      <c r="Y130" s="3">
        <f>1.25*Sheet1!Y130</f>
        <v>5.6043749999999868</v>
      </c>
      <c r="Z130" s="3">
        <f>0.5*Sheet1!Z130</f>
        <v>2.1389999999999998</v>
      </c>
      <c r="AA130" s="3">
        <f>0.5*Sheet1!AA130</f>
        <v>1.673</v>
      </c>
      <c r="AB130" s="3">
        <f>0.5*Sheet1!AB130</f>
        <v>2.4633750000000001</v>
      </c>
      <c r="AD130" s="3">
        <f t="shared" si="1"/>
        <v>90.991812499999909</v>
      </c>
    </row>
    <row r="131" spans="1:30" s="3" customFormat="1" ht="16" x14ac:dyDescent="0.2">
      <c r="A131" s="2">
        <v>91</v>
      </c>
      <c r="B131" s="2" t="s">
        <v>193</v>
      </c>
      <c r="C131" s="2" t="s">
        <v>194</v>
      </c>
      <c r="D131" s="2" t="s">
        <v>16</v>
      </c>
      <c r="F131" s="3">
        <f>0.75*Sheet1!F131</f>
        <v>3.0074999999999998</v>
      </c>
      <c r="G131" s="3">
        <f>1.25*Sheet1!G131</f>
        <v>0</v>
      </c>
      <c r="H131" s="3">
        <f>1.25*Sheet1!H131</f>
        <v>7.5412499999999874</v>
      </c>
      <c r="J131" s="3">
        <f>1.25*Sheet1!J131</f>
        <v>7.5412499999999874</v>
      </c>
      <c r="K131" s="3">
        <f>1.25*Sheet1!K131</f>
        <v>1.855</v>
      </c>
      <c r="L131" s="3">
        <f>1.25*Sheet1!L131</f>
        <v>2.2374999999999998</v>
      </c>
      <c r="M131" s="3">
        <f>1.5*Sheet1!M131</f>
        <v>5.5852500000000003</v>
      </c>
      <c r="N131" s="3">
        <f>1.25*Sheet1!N131</f>
        <v>10.487083333333324</v>
      </c>
      <c r="O131" s="3">
        <f>1.5*Sheet1!O131</f>
        <v>10.888500000000001</v>
      </c>
      <c r="Q131" s="3">
        <f>1*Sheet1!Q131</f>
        <v>8.3896666666666597</v>
      </c>
      <c r="R131" s="3">
        <f>1.25*Sheet1!R131</f>
        <v>9.0737500000000004</v>
      </c>
      <c r="S131" s="3">
        <f>1.5*Sheet1!S131</f>
        <v>14.9175</v>
      </c>
      <c r="T131" s="3">
        <f>1.5*Sheet1!T131</f>
        <v>13.646999999999984</v>
      </c>
      <c r="U131" s="3">
        <f>0.75*Sheet1!U131</f>
        <v>4.1456249999999999</v>
      </c>
      <c r="V131" s="3">
        <f>0.75*Sheet1!V131</f>
        <v>5.9369999999999923</v>
      </c>
      <c r="W131" s="3">
        <f>0.75*Sheet1!W131</f>
        <v>4.6293749999999925</v>
      </c>
      <c r="Y131" s="3">
        <f>1.25*Sheet1!Y131</f>
        <v>5.71875</v>
      </c>
      <c r="Z131" s="3">
        <f>0.5*Sheet1!Z131</f>
        <v>2.93025</v>
      </c>
      <c r="AA131" s="3">
        <f>0.5*Sheet1!AA131</f>
        <v>2.8407499999999999</v>
      </c>
      <c r="AB131" s="3">
        <f>0.5*Sheet1!AB131</f>
        <v>0</v>
      </c>
      <c r="AD131" s="3">
        <f t="shared" si="1"/>
        <v>121.37299999999995</v>
      </c>
    </row>
    <row r="132" spans="1:30" s="3" customFormat="1" ht="16" x14ac:dyDescent="0.2">
      <c r="A132" s="2">
        <v>125</v>
      </c>
      <c r="B132" s="2" t="s">
        <v>195</v>
      </c>
      <c r="C132" s="2" t="s">
        <v>194</v>
      </c>
      <c r="D132" s="2" t="s">
        <v>16</v>
      </c>
      <c r="F132" s="3">
        <f>0.75*Sheet1!F132</f>
        <v>2.82375</v>
      </c>
      <c r="G132" s="3">
        <f>1.25*Sheet1!G132</f>
        <v>0</v>
      </c>
      <c r="H132" s="3">
        <f>1.25*Sheet1!H132</f>
        <v>7.5412499999999874</v>
      </c>
      <c r="J132" s="3">
        <f>1.25*Sheet1!J132</f>
        <v>7.5412499999999874</v>
      </c>
      <c r="K132" s="3">
        <f>1.25*Sheet1!K132</f>
        <v>1.628125</v>
      </c>
      <c r="L132" s="3">
        <f>1.25*Sheet1!L132</f>
        <v>0</v>
      </c>
      <c r="M132" s="3">
        <f>1.5*Sheet1!M132</f>
        <v>5.5852500000000003</v>
      </c>
      <c r="N132" s="3">
        <f>1.25*Sheet1!N132</f>
        <v>10.487083333333324</v>
      </c>
      <c r="O132" s="3">
        <f>1.5*Sheet1!O132</f>
        <v>11.4945</v>
      </c>
      <c r="Q132" s="3">
        <f>1*Sheet1!Q132</f>
        <v>8.3896666666666597</v>
      </c>
      <c r="R132" s="3">
        <f>1.25*Sheet1!R132</f>
        <v>9.5787499999999994</v>
      </c>
      <c r="S132" s="3">
        <f>1.5*Sheet1!S132</f>
        <v>15</v>
      </c>
      <c r="T132" s="3">
        <f>1.5*Sheet1!T132</f>
        <v>13.61799999999999</v>
      </c>
      <c r="U132" s="3">
        <f>0.75*Sheet1!U132</f>
        <v>4.6807499999999997</v>
      </c>
      <c r="V132" s="3">
        <f>0.75*Sheet1!V132</f>
        <v>4.8262499999999999</v>
      </c>
      <c r="W132" s="3">
        <f>0.75*Sheet1!W132</f>
        <v>5.0958750000000004</v>
      </c>
      <c r="Y132" s="3">
        <f>1.25*Sheet1!Y132</f>
        <v>4.6399999999999872</v>
      </c>
      <c r="Z132" s="3">
        <f>0.5*Sheet1!Z132</f>
        <v>4.0767499999999997</v>
      </c>
      <c r="AA132" s="3">
        <f>0.5*Sheet1!AA132</f>
        <v>0.82325000000000004</v>
      </c>
      <c r="AB132" s="3">
        <f>0.5*Sheet1!AB132</f>
        <v>1.25</v>
      </c>
      <c r="AD132" s="3">
        <f t="shared" si="1"/>
        <v>119.08049999999996</v>
      </c>
    </row>
    <row r="133" spans="1:30" s="3" customFormat="1" ht="16" x14ac:dyDescent="0.2">
      <c r="A133" s="2">
        <v>177</v>
      </c>
      <c r="B133" s="2" t="s">
        <v>196</v>
      </c>
      <c r="C133" s="2" t="s">
        <v>194</v>
      </c>
      <c r="D133" s="2" t="s">
        <v>16</v>
      </c>
      <c r="F133" s="3">
        <f>0.75*Sheet1!F133</f>
        <v>5.8736250000000005</v>
      </c>
      <c r="G133" s="3">
        <f>1.25*Sheet1!G133</f>
        <v>6.0237499999999997</v>
      </c>
      <c r="H133" s="3">
        <f>1.25*Sheet1!H133</f>
        <v>7.5412499999999874</v>
      </c>
      <c r="J133" s="3">
        <f>1.25*Sheet1!J133</f>
        <v>7.5412499999999874</v>
      </c>
      <c r="K133" s="3">
        <f>1.25*Sheet1!K133</f>
        <v>3.335</v>
      </c>
      <c r="L133" s="3">
        <f>1.25*Sheet1!L133</f>
        <v>2.68</v>
      </c>
      <c r="M133" s="3">
        <f>1.5*Sheet1!M133</f>
        <v>5.5852500000000003</v>
      </c>
      <c r="N133" s="3">
        <f>1.25*Sheet1!N133</f>
        <v>10.522083333333326</v>
      </c>
      <c r="O133" s="3">
        <f>1.5*Sheet1!O133</f>
        <v>10.78425</v>
      </c>
      <c r="Q133" s="3">
        <f>1*Sheet1!Q133</f>
        <v>8.4176666666666602</v>
      </c>
      <c r="R133" s="3">
        <f>1.25*Sheet1!R133</f>
        <v>8.9868749999999995</v>
      </c>
      <c r="S133" s="3">
        <f>1.5*Sheet1!S133</f>
        <v>15</v>
      </c>
      <c r="T133" s="3">
        <f>1.5*Sheet1!T133</f>
        <v>13.057999999999996</v>
      </c>
      <c r="U133" s="3">
        <f>0.75*Sheet1!U133</f>
        <v>4.1921249999999928</v>
      </c>
      <c r="V133" s="3">
        <f>0.75*Sheet1!V133</f>
        <v>3.9950624999999995</v>
      </c>
      <c r="W133" s="3">
        <f>0.75*Sheet1!W133</f>
        <v>4.6511249999999924</v>
      </c>
      <c r="Y133" s="3">
        <f>1.25*Sheet1!Y133</f>
        <v>4.6550000000000002</v>
      </c>
      <c r="Z133" s="3">
        <f>0.5*Sheet1!Z133</f>
        <v>3.6132499999999999</v>
      </c>
      <c r="AA133" s="3">
        <f>0.5*Sheet1!AA133</f>
        <v>2.59375</v>
      </c>
      <c r="AB133" s="3">
        <f>0.5*Sheet1!AB133</f>
        <v>2.6274999999999999</v>
      </c>
      <c r="AD133" s="3">
        <f t="shared" si="1"/>
        <v>131.67681249999993</v>
      </c>
    </row>
    <row r="134" spans="1:30" s="3" customFormat="1" ht="16" x14ac:dyDescent="0.2">
      <c r="A134" s="2">
        <v>244</v>
      </c>
      <c r="B134" s="2" t="s">
        <v>197</v>
      </c>
      <c r="C134" s="2" t="s">
        <v>194</v>
      </c>
      <c r="D134" s="2" t="s">
        <v>16</v>
      </c>
      <c r="F134" s="3">
        <f>0.75*Sheet1!F134</f>
        <v>4.24275</v>
      </c>
      <c r="G134" s="3">
        <f>1.25*Sheet1!G134</f>
        <v>4.2887500000000003</v>
      </c>
      <c r="H134" s="3">
        <f>1.25*Sheet1!H134</f>
        <v>7.5412499999999874</v>
      </c>
      <c r="J134" s="3">
        <f>1.25*Sheet1!J134</f>
        <v>7.5412499999999874</v>
      </c>
      <c r="K134" s="3">
        <f>1.25*Sheet1!K134</f>
        <v>7.8712499999999999</v>
      </c>
      <c r="L134" s="3">
        <f>1.25*Sheet1!L134</f>
        <v>4.953749999999987</v>
      </c>
      <c r="M134" s="3">
        <f>1.5*Sheet1!M134</f>
        <v>5.5852500000000003</v>
      </c>
      <c r="N134" s="3">
        <f>1.25*Sheet1!N134</f>
        <v>10.472083333333323</v>
      </c>
      <c r="O134" s="3">
        <f>1.5*Sheet1!O134</f>
        <v>10.79175</v>
      </c>
      <c r="Q134" s="3">
        <f>1*Sheet1!Q134</f>
        <v>8.3776666666666593</v>
      </c>
      <c r="R134" s="3">
        <f>1.25*Sheet1!R134</f>
        <v>8.9931249999999991</v>
      </c>
      <c r="S134" s="3">
        <f>1.5*Sheet1!S134</f>
        <v>15</v>
      </c>
      <c r="T134" s="3">
        <f>1.5*Sheet1!T134</f>
        <v>13.239499999999996</v>
      </c>
      <c r="U134" s="3">
        <f>0.75*Sheet1!U134</f>
        <v>5.2353750000000003</v>
      </c>
      <c r="V134" s="3">
        <f>0.75*Sheet1!V134</f>
        <v>4.4668124999999996</v>
      </c>
      <c r="W134" s="3">
        <f>0.75*Sheet1!W134</f>
        <v>6.1136250000000008</v>
      </c>
      <c r="Y134" s="3">
        <f>1.25*Sheet1!Y134</f>
        <v>6.0437500000000002</v>
      </c>
      <c r="Z134" s="3">
        <f>0.5*Sheet1!Z134</f>
        <v>4.6710000000000003</v>
      </c>
      <c r="AA134" s="3">
        <f>0.5*Sheet1!AA134</f>
        <v>3.26125</v>
      </c>
      <c r="AB134" s="3">
        <f>0.5*Sheet1!AB134</f>
        <v>3.0037500000000001</v>
      </c>
      <c r="AD134" s="3">
        <f t="shared" ref="AD134:AD197" si="2">SUM(F134:AB134)</f>
        <v>141.69393749999992</v>
      </c>
    </row>
    <row r="135" spans="1:30" s="3" customFormat="1" ht="16" x14ac:dyDescent="0.2">
      <c r="A135" s="2">
        <v>3</v>
      </c>
      <c r="B135" s="2" t="s">
        <v>198</v>
      </c>
      <c r="C135" s="2" t="s">
        <v>199</v>
      </c>
      <c r="D135" s="2" t="s">
        <v>16</v>
      </c>
      <c r="F135" s="3">
        <f>0.75*Sheet1!F135</f>
        <v>6.9615</v>
      </c>
      <c r="G135" s="3">
        <f>1.25*Sheet1!G135</f>
        <v>11.66625</v>
      </c>
      <c r="H135" s="3">
        <f>1.25*Sheet1!H135</f>
        <v>10.6525</v>
      </c>
      <c r="J135" s="3">
        <f>1.25*Sheet1!J135</f>
        <v>10.6525</v>
      </c>
      <c r="K135" s="3">
        <f>1.25*Sheet1!K135</f>
        <v>3.0731250000000001</v>
      </c>
      <c r="L135" s="3">
        <f>1.25*Sheet1!L135</f>
        <v>0</v>
      </c>
      <c r="M135" s="3">
        <f>1.5*Sheet1!M135</f>
        <v>7.9035000000000002</v>
      </c>
      <c r="N135" s="3">
        <f>1.25*Sheet1!N135</f>
        <v>6.9599999999999991</v>
      </c>
      <c r="O135" s="3">
        <f>1.5*Sheet1!O135</f>
        <v>9.8092500000000005</v>
      </c>
      <c r="Q135" s="3">
        <f>1*Sheet1!Q135</f>
        <v>5.5679999999999996</v>
      </c>
      <c r="R135" s="3">
        <f>1.25*Sheet1!R135</f>
        <v>8.1743750000000013</v>
      </c>
      <c r="S135" s="3">
        <f>1.5*Sheet1!S135</f>
        <v>10.9635</v>
      </c>
      <c r="T135" s="3">
        <f>1.5*Sheet1!T135</f>
        <v>6.8184999999999905</v>
      </c>
      <c r="U135" s="3">
        <f>0.75*Sheet1!U135</f>
        <v>1.71225</v>
      </c>
      <c r="V135" s="3">
        <f>0.75*Sheet1!V135</f>
        <v>2.8925624999999999</v>
      </c>
      <c r="W135" s="3">
        <f>0.75*Sheet1!W135</f>
        <v>3.444</v>
      </c>
      <c r="Y135" s="3">
        <f>1.25*Sheet1!Y135</f>
        <v>3.6074999999999999</v>
      </c>
      <c r="Z135" s="3">
        <f>0.5*Sheet1!Z135</f>
        <v>1.4684999999999999</v>
      </c>
      <c r="AA135" s="3">
        <f>0.5*Sheet1!AA135</f>
        <v>2.7499999999999951</v>
      </c>
      <c r="AB135" s="3">
        <f>0.5*Sheet1!AB135</f>
        <v>2.935624999999995</v>
      </c>
      <c r="AD135" s="3">
        <f t="shared" si="2"/>
        <v>118.01343749999998</v>
      </c>
    </row>
    <row r="136" spans="1:30" s="3" customFormat="1" ht="16" x14ac:dyDescent="0.2">
      <c r="A136" s="2">
        <v>140</v>
      </c>
      <c r="B136" s="2" t="s">
        <v>200</v>
      </c>
      <c r="C136" s="2" t="s">
        <v>201</v>
      </c>
      <c r="D136" s="2" t="s">
        <v>6</v>
      </c>
      <c r="F136" s="3">
        <f>0.75*Sheet1!F136</f>
        <v>5.4435000000000002</v>
      </c>
      <c r="G136" s="3">
        <f>1.25*Sheet1!G136</f>
        <v>7.9474999999999998</v>
      </c>
      <c r="H136" s="3">
        <f>1.25*Sheet1!H136</f>
        <v>5.0775000000000006</v>
      </c>
      <c r="J136" s="3">
        <f>1.25*Sheet1!J136</f>
        <v>5.0775000000000006</v>
      </c>
      <c r="K136" s="3">
        <f>1.25*Sheet1!K136</f>
        <v>5.317499999999999</v>
      </c>
      <c r="L136" s="3">
        <f>1.25*Sheet1!L136</f>
        <v>2.86625</v>
      </c>
      <c r="M136" s="3">
        <f>1.5*Sheet1!M136</f>
        <v>9.7717500000000008</v>
      </c>
      <c r="N136" s="3">
        <f>1.25*Sheet1!N136</f>
        <v>10.838749999999999</v>
      </c>
      <c r="O136" s="3">
        <f>1.5*Sheet1!O136</f>
        <v>8.6677499999999856</v>
      </c>
      <c r="Q136" s="3">
        <f>1*Sheet1!Q136</f>
        <v>8.6709999999999994</v>
      </c>
      <c r="R136" s="3">
        <f>1.25*Sheet1!R136</f>
        <v>7.223124999999988</v>
      </c>
      <c r="S136" s="3">
        <f>1.5*Sheet1!S136</f>
        <v>5.4262500000000005</v>
      </c>
      <c r="T136" s="3">
        <f>1.5*Sheet1!T136</f>
        <v>9.2434999999999956</v>
      </c>
      <c r="U136" s="3">
        <f>0.75*Sheet1!U136</f>
        <v>2.718375</v>
      </c>
      <c r="V136" s="3">
        <f>0.75*Sheet1!V136</f>
        <v>4.9509374999999922</v>
      </c>
      <c r="W136" s="3">
        <f>0.75*Sheet1!W136</f>
        <v>1.1047499999999926</v>
      </c>
      <c r="Y136" s="3">
        <f>1.25*Sheet1!Y136</f>
        <v>6.908749999999988</v>
      </c>
      <c r="Z136" s="3">
        <f>0.5*Sheet1!Z136</f>
        <v>2.8467500000000001</v>
      </c>
      <c r="AA136" s="3">
        <f>0.5*Sheet1!AA136</f>
        <v>0.65</v>
      </c>
      <c r="AB136" s="3">
        <f>0.5*Sheet1!AB136</f>
        <v>0.97699999999999998</v>
      </c>
      <c r="AD136" s="3">
        <f t="shared" si="2"/>
        <v>111.72843749999993</v>
      </c>
    </row>
    <row r="137" spans="1:30" s="3" customFormat="1" ht="16" x14ac:dyDescent="0.2">
      <c r="A137" s="2">
        <v>166</v>
      </c>
      <c r="B137" s="2" t="s">
        <v>202</v>
      </c>
      <c r="C137" s="2" t="s">
        <v>203</v>
      </c>
      <c r="D137" s="2" t="s">
        <v>103</v>
      </c>
      <c r="F137" s="3">
        <f>0.75*Sheet1!F137</f>
        <v>6.6378750000000002</v>
      </c>
      <c r="G137" s="3">
        <f>1.25*Sheet1!G137</f>
        <v>10.539999999999987</v>
      </c>
      <c r="H137" s="3">
        <f>1.25*Sheet1!H137</f>
        <v>6.3549999999999995</v>
      </c>
      <c r="J137" s="3">
        <f>1.25*Sheet1!J137</f>
        <v>6.3549999999999995</v>
      </c>
      <c r="K137" s="3">
        <f>1.25*Sheet1!K137</f>
        <v>7.5324999999999998</v>
      </c>
      <c r="L137" s="3">
        <f>1.25*Sheet1!L137</f>
        <v>5.7512499999999882</v>
      </c>
      <c r="M137" s="3">
        <f>1.5*Sheet1!M137</f>
        <v>6.565499999999985</v>
      </c>
      <c r="N137" s="3">
        <f>1.25*Sheet1!N137</f>
        <v>4.0579166666666628</v>
      </c>
      <c r="O137" s="3">
        <f>1.5*Sheet1!O137</f>
        <v>3.868499999999985</v>
      </c>
      <c r="Q137" s="3">
        <f>1*Sheet1!Q137</f>
        <v>3.2463333333333302</v>
      </c>
      <c r="R137" s="3">
        <f>1.25*Sheet1!R137</f>
        <v>3.2237499999999875</v>
      </c>
      <c r="S137" s="3">
        <f>1.5*Sheet1!S137</f>
        <v>8.9579999999999842</v>
      </c>
      <c r="T137" s="3">
        <f>1.5*Sheet1!T137</f>
        <v>5.3974999999999955</v>
      </c>
      <c r="U137" s="3">
        <f>0.75*Sheet1!U137</f>
        <v>0.375</v>
      </c>
      <c r="V137" s="3">
        <f>0.75*Sheet1!V137</f>
        <v>2.3990624999999999</v>
      </c>
      <c r="W137" s="3">
        <f>0.75*Sheet1!W137</f>
        <v>1.7358749999999998</v>
      </c>
      <c r="Y137" s="3">
        <f>1.25*Sheet1!Y137</f>
        <v>2.3612500000000001</v>
      </c>
      <c r="Z137" s="3">
        <f>0.5*Sheet1!Z137</f>
        <v>1.335</v>
      </c>
      <c r="AA137" s="3">
        <f>0.5*Sheet1!AA137</f>
        <v>2.02475</v>
      </c>
      <c r="AB137" s="3">
        <f>0.5*Sheet1!AB137</f>
        <v>2.0345</v>
      </c>
      <c r="AD137" s="3">
        <f t="shared" si="2"/>
        <v>90.754562499999878</v>
      </c>
    </row>
    <row r="138" spans="1:30" s="3" customFormat="1" ht="16" x14ac:dyDescent="0.2">
      <c r="A138" s="2">
        <v>202</v>
      </c>
      <c r="B138" s="2" t="s">
        <v>204</v>
      </c>
      <c r="C138" s="2" t="s">
        <v>205</v>
      </c>
      <c r="D138" s="2" t="s">
        <v>26</v>
      </c>
      <c r="F138" s="3">
        <f>0.75*Sheet1!F138</f>
        <v>6.6997499999999999</v>
      </c>
      <c r="G138" s="3">
        <f>1.25*Sheet1!G138</f>
        <v>9.161249999999999</v>
      </c>
      <c r="H138" s="3">
        <f>1.25*Sheet1!H138</f>
        <v>7.4112500000000008</v>
      </c>
      <c r="J138" s="3">
        <f>1.25*Sheet1!J138</f>
        <v>7.4112500000000008</v>
      </c>
      <c r="K138" s="3">
        <f>1.25*Sheet1!K138</f>
        <v>5.4381250000000003</v>
      </c>
      <c r="L138" s="3">
        <f>1.25*Sheet1!L138</f>
        <v>1.6975000000000002</v>
      </c>
      <c r="M138" s="3">
        <f>1.5*Sheet1!M138</f>
        <v>6.14175</v>
      </c>
      <c r="N138" s="3">
        <f>1.25*Sheet1!N138</f>
        <v>9.2041666666666622</v>
      </c>
      <c r="O138" s="3">
        <f>1.5*Sheet1!O138</f>
        <v>10.326000000000001</v>
      </c>
      <c r="Q138" s="3">
        <f>1*Sheet1!Q138</f>
        <v>7.3633333333333297</v>
      </c>
      <c r="R138" s="3">
        <f>1.25*Sheet1!R138</f>
        <v>8.6050000000000004</v>
      </c>
      <c r="S138" s="3">
        <f>1.5*Sheet1!S138</f>
        <v>11.43825</v>
      </c>
      <c r="T138" s="3">
        <f>1.5*Sheet1!T138</f>
        <v>8.5649999999999995</v>
      </c>
      <c r="U138" s="3">
        <f>0.75*Sheet1!U138</f>
        <v>3.0682499999999928</v>
      </c>
      <c r="V138" s="3">
        <f>0.75*Sheet1!V138</f>
        <v>5.2244999999999999</v>
      </c>
      <c r="W138" s="3">
        <f>0.75*Sheet1!W138</f>
        <v>1.7793749999999999</v>
      </c>
      <c r="Y138" s="3">
        <f>1.25*Sheet1!Y138</f>
        <v>7.3012500000000005</v>
      </c>
      <c r="Z138" s="3">
        <f>0.5*Sheet1!Z138</f>
        <v>3.8532500000000001</v>
      </c>
      <c r="AA138" s="3">
        <f>0.5*Sheet1!AA138</f>
        <v>2.7632500000000002</v>
      </c>
      <c r="AB138" s="3">
        <f>0.5*Sheet1!AB138</f>
        <v>2.6763750000000002</v>
      </c>
      <c r="AD138" s="3">
        <f t="shared" si="2"/>
        <v>126.12887499999999</v>
      </c>
    </row>
    <row r="139" spans="1:30" s="3" customFormat="1" ht="16" x14ac:dyDescent="0.2">
      <c r="A139" s="2">
        <v>20</v>
      </c>
      <c r="B139" s="2" t="s">
        <v>206</v>
      </c>
      <c r="C139" s="2" t="s">
        <v>207</v>
      </c>
      <c r="D139" s="2" t="s">
        <v>16</v>
      </c>
      <c r="F139" s="3">
        <f>0.75*Sheet1!F139</f>
        <v>4.991625</v>
      </c>
      <c r="G139" s="3">
        <f>1.25*Sheet1!G139</f>
        <v>7.875</v>
      </c>
      <c r="H139" s="3">
        <f>1.25*Sheet1!H139</f>
        <v>10.350625000000001</v>
      </c>
      <c r="J139" s="3">
        <f>1.25*Sheet1!J139</f>
        <v>10.350625000000001</v>
      </c>
      <c r="K139" s="3">
        <f>1.25*Sheet1!K139</f>
        <v>4.2618749999999874</v>
      </c>
      <c r="L139" s="3">
        <f>1.25*Sheet1!L139</f>
        <v>0</v>
      </c>
      <c r="M139" s="3">
        <f>1.5*Sheet1!M139</f>
        <v>5.1517499999999998</v>
      </c>
      <c r="N139" s="3">
        <f>1.25*Sheet1!N139</f>
        <v>5.4112499999999999</v>
      </c>
      <c r="O139" s="3">
        <f>1.5*Sheet1!O139</f>
        <v>6.2759999999999998</v>
      </c>
      <c r="Q139" s="3">
        <f>1*Sheet1!Q139</f>
        <v>4.3289999999999997</v>
      </c>
      <c r="R139" s="3">
        <f>1.25*Sheet1!R139</f>
        <v>5.23</v>
      </c>
      <c r="S139" s="3">
        <f>1.5*Sheet1!S139</f>
        <v>10.249500000000001</v>
      </c>
      <c r="T139" s="3">
        <f>1.5*Sheet1!T139</f>
        <v>9.2389999999999954</v>
      </c>
      <c r="U139" s="3">
        <f>0.75*Sheet1!U139</f>
        <v>0.7526250000000001</v>
      </c>
      <c r="V139" s="3">
        <f>0.75*Sheet1!V139</f>
        <v>1.0867500000000001</v>
      </c>
      <c r="W139" s="3">
        <f>0.75*Sheet1!W139</f>
        <v>0.97837499999999999</v>
      </c>
      <c r="Y139" s="3">
        <f>1.25*Sheet1!Y139</f>
        <v>1.9881250000000001</v>
      </c>
      <c r="Z139" s="3">
        <f>0.5*Sheet1!Z139</f>
        <v>1.6997500000000001</v>
      </c>
      <c r="AA139" s="3">
        <f>0.5*Sheet1!AA139</f>
        <v>1.921</v>
      </c>
      <c r="AB139" s="3">
        <f>0.5*Sheet1!AB139</f>
        <v>2.3863750000000001</v>
      </c>
      <c r="AD139" s="3">
        <f t="shared" si="2"/>
        <v>94.529249999999962</v>
      </c>
    </row>
    <row r="140" spans="1:30" s="3" customFormat="1" ht="16" x14ac:dyDescent="0.2">
      <c r="A140" s="2">
        <v>257</v>
      </c>
      <c r="B140" s="2" t="s">
        <v>208</v>
      </c>
      <c r="C140" s="2" t="s">
        <v>209</v>
      </c>
      <c r="D140" s="2" t="s">
        <v>26</v>
      </c>
      <c r="F140" s="3">
        <f>0.75*Sheet1!F140</f>
        <v>6.4657499999999999</v>
      </c>
      <c r="G140" s="3">
        <f>1.25*Sheet1!G140</f>
        <v>9.4699999999999989</v>
      </c>
      <c r="H140" s="3">
        <f>1.25*Sheet1!H140</f>
        <v>8.2406249999999872</v>
      </c>
      <c r="J140" s="3">
        <f>1.25*Sheet1!J140</f>
        <v>8.2406249999999872</v>
      </c>
      <c r="K140" s="3">
        <f>1.25*Sheet1!K140</f>
        <v>5.2787499999999996</v>
      </c>
      <c r="L140" s="3">
        <f>1.25*Sheet1!L140</f>
        <v>3.5349999999999997</v>
      </c>
      <c r="M140" s="3">
        <f>1.5*Sheet1!M140</f>
        <v>7.0365000000000002</v>
      </c>
      <c r="N140" s="3">
        <f>1.25*Sheet1!N140</f>
        <v>9.5004166666666627</v>
      </c>
      <c r="O140" s="3">
        <f>1.5*Sheet1!O140</f>
        <v>11.089499999999999</v>
      </c>
      <c r="Q140" s="3">
        <f>1*Sheet1!Q140</f>
        <v>7.6003333333333298</v>
      </c>
      <c r="R140" s="3">
        <f>1.25*Sheet1!R140</f>
        <v>9.2412499999999991</v>
      </c>
      <c r="S140" s="3">
        <f>1.5*Sheet1!S140</f>
        <v>13.285499999999999</v>
      </c>
      <c r="T140" s="3">
        <f>1.5*Sheet1!T140</f>
        <v>9.4959999999999898</v>
      </c>
      <c r="U140" s="3">
        <f>0.75*Sheet1!U140</f>
        <v>2.7750000000000004</v>
      </c>
      <c r="V140" s="3">
        <f>0.75*Sheet1!V140</f>
        <v>6.5383125</v>
      </c>
      <c r="W140" s="3">
        <f>0.75*Sheet1!W140</f>
        <v>1.5787499999999999</v>
      </c>
      <c r="Y140" s="3">
        <f>1.25*Sheet1!Y140</f>
        <v>9.9081250000000001</v>
      </c>
      <c r="Z140" s="3">
        <f>0.5*Sheet1!Z140</f>
        <v>2.5992500000000001</v>
      </c>
      <c r="AA140" s="3">
        <f>0.5*Sheet1!AA140</f>
        <v>2.0529999999999999</v>
      </c>
      <c r="AB140" s="3">
        <f>0.5*Sheet1!AB140</f>
        <v>2.9638749999999998</v>
      </c>
      <c r="AD140" s="3">
        <f t="shared" si="2"/>
        <v>136.89656249999999</v>
      </c>
    </row>
    <row r="141" spans="1:30" s="3" customFormat="1" ht="16" x14ac:dyDescent="0.2">
      <c r="A141" s="2">
        <v>170</v>
      </c>
      <c r="B141" s="2" t="s">
        <v>210</v>
      </c>
      <c r="C141" s="2" t="s">
        <v>211</v>
      </c>
      <c r="D141" s="2" t="s">
        <v>6</v>
      </c>
      <c r="F141" s="3">
        <f>0.75*Sheet1!F141</f>
        <v>4.0042500000000008</v>
      </c>
      <c r="G141" s="3">
        <f>1.25*Sheet1!G141</f>
        <v>6.2399999999999878</v>
      </c>
      <c r="H141" s="3">
        <f>1.25*Sheet1!H141</f>
        <v>5.4325000000000001</v>
      </c>
      <c r="J141" s="3">
        <f>1.25*Sheet1!J141</f>
        <v>5.4325000000000001</v>
      </c>
      <c r="K141" s="3">
        <f>1.25*Sheet1!K141</f>
        <v>5.9206250000000002</v>
      </c>
      <c r="L141" s="3">
        <f>1.25*Sheet1!L141</f>
        <v>1.5125</v>
      </c>
      <c r="M141" s="3">
        <f>1.5*Sheet1!M141</f>
        <v>9.7717500000000008</v>
      </c>
      <c r="N141" s="3">
        <f>1.25*Sheet1!N141</f>
        <v>10.838749999999999</v>
      </c>
      <c r="O141" s="3">
        <f>1.5*Sheet1!O141</f>
        <v>7.6859999999999999</v>
      </c>
      <c r="Q141" s="3">
        <f>1*Sheet1!Q141</f>
        <v>8.6709999999999994</v>
      </c>
      <c r="R141" s="3">
        <f>1.25*Sheet1!R141</f>
        <v>6.4049999999999994</v>
      </c>
      <c r="S141" s="3">
        <f>1.5*Sheet1!S141</f>
        <v>3.1320000000000001</v>
      </c>
      <c r="T141" s="3">
        <f>1.5*Sheet1!T141</f>
        <v>8.8259999999999845</v>
      </c>
      <c r="U141" s="3">
        <f>0.75*Sheet1!U141</f>
        <v>3.1139999999999928</v>
      </c>
      <c r="V141" s="3">
        <f>0.75*Sheet1!V141</f>
        <v>4.2555000000000005</v>
      </c>
      <c r="W141" s="3">
        <f>0.75*Sheet1!W141</f>
        <v>1.31775</v>
      </c>
      <c r="Y141" s="3">
        <f>1.25*Sheet1!Y141</f>
        <v>8.0662500000000001</v>
      </c>
      <c r="Z141" s="3">
        <f>0.5*Sheet1!Z141</f>
        <v>3.5992500000000001</v>
      </c>
      <c r="AA141" s="3">
        <f>0.5*Sheet1!AA141</f>
        <v>0.5</v>
      </c>
      <c r="AB141" s="3">
        <f>0.5*Sheet1!AB141</f>
        <v>2.3137499999999949</v>
      </c>
      <c r="AD141" s="3">
        <f t="shared" si="2"/>
        <v>107.03937499999996</v>
      </c>
    </row>
    <row r="142" spans="1:30" s="3" customFormat="1" ht="16" x14ac:dyDescent="0.2">
      <c r="A142" s="2">
        <v>141</v>
      </c>
      <c r="B142" s="2" t="s">
        <v>212</v>
      </c>
      <c r="C142" s="2" t="s">
        <v>213</v>
      </c>
      <c r="D142" s="2" t="s">
        <v>26</v>
      </c>
      <c r="F142" s="3">
        <f>0.75*Sheet1!F142</f>
        <v>1.83975</v>
      </c>
      <c r="G142" s="3">
        <f>1.25*Sheet1!G142</f>
        <v>4.2637499999999999</v>
      </c>
      <c r="H142" s="3">
        <f>1.25*Sheet1!H142</f>
        <v>8.9387499999999989</v>
      </c>
      <c r="J142" s="3">
        <f>1.25*Sheet1!J142</f>
        <v>8.9387499999999989</v>
      </c>
      <c r="K142" s="3">
        <f>1.25*Sheet1!K142</f>
        <v>4.1343750000000004</v>
      </c>
      <c r="L142" s="3">
        <f>1.25*Sheet1!L142</f>
        <v>2.3737500000000002</v>
      </c>
      <c r="M142" s="3">
        <f>1.5*Sheet1!M142</f>
        <v>11.2095</v>
      </c>
      <c r="N142" s="3">
        <f>1.25*Sheet1!N142</f>
        <v>9.8208333333333258</v>
      </c>
      <c r="O142" s="3">
        <f>1.5*Sheet1!O142</f>
        <v>13.206750000000001</v>
      </c>
      <c r="Q142" s="3">
        <f>1*Sheet1!Q142</f>
        <v>7.8566666666666602</v>
      </c>
      <c r="R142" s="3">
        <f>1.25*Sheet1!R142</f>
        <v>11.005625000000002</v>
      </c>
      <c r="S142" s="3">
        <f>1.5*Sheet1!S142</f>
        <v>12.941999999999984</v>
      </c>
      <c r="T142" s="3">
        <f>1.5*Sheet1!T142</f>
        <v>12.330499999999997</v>
      </c>
      <c r="U142" s="3">
        <f>0.75*Sheet1!U142</f>
        <v>2.6096249999999999</v>
      </c>
      <c r="V142" s="3">
        <f>0.75*Sheet1!V142</f>
        <v>6.4321874999999995</v>
      </c>
      <c r="W142" s="3">
        <f>0.75*Sheet1!W142</f>
        <v>3.4353749999999996</v>
      </c>
      <c r="Y142" s="3">
        <f>1.25*Sheet1!Y142</f>
        <v>6.8224999999999998</v>
      </c>
      <c r="Z142" s="3">
        <f>0.5*Sheet1!Z142</f>
        <v>2.2477499999999999</v>
      </c>
      <c r="AA142" s="3">
        <f>0.5*Sheet1!AA142</f>
        <v>0.73749999999999505</v>
      </c>
      <c r="AB142" s="3">
        <f>0.5*Sheet1!AB142</f>
        <v>2.92225</v>
      </c>
      <c r="AD142" s="3">
        <f t="shared" si="2"/>
        <v>134.06818749999991</v>
      </c>
    </row>
    <row r="143" spans="1:30" s="3" customFormat="1" ht="16" x14ac:dyDescent="0.2">
      <c r="A143" s="2">
        <v>227</v>
      </c>
      <c r="B143" s="2" t="s">
        <v>214</v>
      </c>
      <c r="C143" s="2" t="s">
        <v>215</v>
      </c>
      <c r="D143" s="2" t="s">
        <v>26</v>
      </c>
      <c r="F143" s="3">
        <f>0.75*Sheet1!F143</f>
        <v>7.3053750000000006</v>
      </c>
      <c r="G143" s="3">
        <f>1.25*Sheet1!G143</f>
        <v>11.387499999999999</v>
      </c>
      <c r="H143" s="3">
        <f>1.25*Sheet1!H143</f>
        <v>11.84375</v>
      </c>
      <c r="J143" s="3">
        <f>1.25*Sheet1!J143</f>
        <v>11.84375</v>
      </c>
      <c r="K143" s="3">
        <f>1.25*Sheet1!K143</f>
        <v>3.7424999999999873</v>
      </c>
      <c r="L143" s="3">
        <f>1.25*Sheet1!L143</f>
        <v>0</v>
      </c>
      <c r="M143" s="3">
        <f>1.5*Sheet1!M143</f>
        <v>6.1837499999999999</v>
      </c>
      <c r="N143" s="3">
        <f>1.25*Sheet1!N143</f>
        <v>8.6029166666666619</v>
      </c>
      <c r="O143" s="3">
        <f>1.5*Sheet1!O143</f>
        <v>6.4342500000000005</v>
      </c>
      <c r="Q143" s="3">
        <f>1*Sheet1!Q143</f>
        <v>6.8823333333333299</v>
      </c>
      <c r="R143" s="3">
        <f>1.25*Sheet1!R143</f>
        <v>5.3618750000000004</v>
      </c>
      <c r="S143" s="3">
        <f>1.5*Sheet1!S143</f>
        <v>10.91925</v>
      </c>
      <c r="T143" s="3">
        <f>1.5*Sheet1!T143</f>
        <v>9.942999999999989</v>
      </c>
      <c r="U143" s="3">
        <f>0.75*Sheet1!U143</f>
        <v>0.375</v>
      </c>
      <c r="V143" s="3">
        <f>0.75*Sheet1!V143</f>
        <v>1.9869374999999998</v>
      </c>
      <c r="W143" s="3">
        <f>0.75*Sheet1!W143</f>
        <v>1.2585</v>
      </c>
      <c r="Y143" s="3">
        <f>1.25*Sheet1!Y143</f>
        <v>5.6506249999999882</v>
      </c>
      <c r="Z143" s="3">
        <f>0.5*Sheet1!Z143</f>
        <v>3.1040000000000001</v>
      </c>
      <c r="AA143" s="3">
        <f>0.5*Sheet1!AA143</f>
        <v>1.651</v>
      </c>
      <c r="AB143" s="3">
        <f>0.5*Sheet1!AB143</f>
        <v>2.8682499999999949</v>
      </c>
      <c r="AD143" s="3">
        <f t="shared" si="2"/>
        <v>117.34456249999994</v>
      </c>
    </row>
    <row r="144" spans="1:30" s="3" customFormat="1" ht="16" x14ac:dyDescent="0.2">
      <c r="A144" s="2">
        <v>191</v>
      </c>
      <c r="B144" s="2" t="s">
        <v>216</v>
      </c>
      <c r="C144" s="2" t="s">
        <v>217</v>
      </c>
      <c r="D144" s="2" t="s">
        <v>6</v>
      </c>
      <c r="F144" s="3">
        <f>0.75*Sheet1!F144</f>
        <v>0</v>
      </c>
      <c r="G144" s="3">
        <f>1.25*Sheet1!G144</f>
        <v>0</v>
      </c>
      <c r="H144" s="3">
        <f>1.25*Sheet1!H144</f>
        <v>5.0775000000000006</v>
      </c>
      <c r="J144" s="3">
        <f>1.25*Sheet1!J144</f>
        <v>5.0775000000000006</v>
      </c>
      <c r="K144" s="3">
        <f>1.25*Sheet1!K144</f>
        <v>4.5462499999999997</v>
      </c>
      <c r="L144" s="3">
        <f>1.25*Sheet1!L144</f>
        <v>0</v>
      </c>
      <c r="M144" s="3">
        <f>1.5*Sheet1!M144</f>
        <v>9.7717500000000008</v>
      </c>
      <c r="N144" s="3">
        <f>1.25*Sheet1!N144</f>
        <v>10.838749999999999</v>
      </c>
      <c r="O144" s="3">
        <f>1.5*Sheet1!O144</f>
        <v>12.406499999999985</v>
      </c>
      <c r="Q144" s="3">
        <f>1*Sheet1!Q144</f>
        <v>8.6709999999999994</v>
      </c>
      <c r="R144" s="3">
        <f>1.25*Sheet1!R144</f>
        <v>10.338749999999987</v>
      </c>
      <c r="S144" s="3">
        <f>1.5*Sheet1!S144</f>
        <v>9.5377499999999849</v>
      </c>
      <c r="T144" s="3">
        <f>1.5*Sheet1!T144</f>
        <v>7.7619999999999898</v>
      </c>
      <c r="U144" s="3">
        <f>0.75*Sheet1!U144</f>
        <v>2.718375</v>
      </c>
      <c r="V144" s="3">
        <f>0.75*Sheet1!V144</f>
        <v>5.7566249999999926</v>
      </c>
      <c r="W144" s="3">
        <f>0.75*Sheet1!W144</f>
        <v>0.82649999999999257</v>
      </c>
      <c r="Y144" s="3">
        <f>1.25*Sheet1!Y144</f>
        <v>4.4331250000000004</v>
      </c>
      <c r="Z144" s="3">
        <f>0.5*Sheet1!Z144</f>
        <v>1.652499999999995</v>
      </c>
      <c r="AA144" s="3">
        <f>0.5*Sheet1!AA144</f>
        <v>2.4889999999999999</v>
      </c>
      <c r="AB144" s="3">
        <f>0.5*Sheet1!AB144</f>
        <v>0.98512500000000003</v>
      </c>
      <c r="AD144" s="3">
        <f t="shared" si="2"/>
        <v>102.88899999999992</v>
      </c>
    </row>
    <row r="145" spans="1:30" s="3" customFormat="1" ht="16" x14ac:dyDescent="0.2">
      <c r="A145" s="2">
        <v>124</v>
      </c>
      <c r="B145" s="2" t="s">
        <v>218</v>
      </c>
      <c r="C145" s="2" t="s">
        <v>219</v>
      </c>
      <c r="D145" s="2" t="s">
        <v>16</v>
      </c>
      <c r="F145" s="3">
        <f>0.75*Sheet1!F145</f>
        <v>6.4976249999999922</v>
      </c>
      <c r="G145" s="3">
        <f>1.25*Sheet1!G145</f>
        <v>10.297499999999999</v>
      </c>
      <c r="H145" s="3">
        <f>1.25*Sheet1!H145</f>
        <v>7.6581250000000001</v>
      </c>
      <c r="J145" s="3">
        <f>1.25*Sheet1!J145</f>
        <v>7.6581250000000001</v>
      </c>
      <c r="K145" s="3">
        <f>1.25*Sheet1!K145</f>
        <v>6.9275000000000002</v>
      </c>
      <c r="L145" s="3">
        <f>1.25*Sheet1!L145</f>
        <v>5.3062500000000004</v>
      </c>
      <c r="M145" s="3">
        <f>1.5*Sheet1!M145</f>
        <v>9.5085000000000015</v>
      </c>
      <c r="N145" s="3">
        <f>1.25*Sheet1!N145</f>
        <v>9.4966666666666626</v>
      </c>
      <c r="O145" s="3">
        <f>1.5*Sheet1!O145</f>
        <v>2.2919999999999998</v>
      </c>
      <c r="Q145" s="3">
        <f>1*Sheet1!Q145</f>
        <v>7.5973333333333297</v>
      </c>
      <c r="R145" s="3">
        <f>1.25*Sheet1!R145</f>
        <v>1.9100000000000001</v>
      </c>
      <c r="S145" s="3">
        <f>1.5*Sheet1!S145</f>
        <v>8.8214999999999844</v>
      </c>
      <c r="T145" s="3">
        <f>1.5*Sheet1!T145</f>
        <v>8.925499999999996</v>
      </c>
      <c r="U145" s="3">
        <f>0.75*Sheet1!U145</f>
        <v>1.8952500000000001</v>
      </c>
      <c r="V145" s="3">
        <f>0.75*Sheet1!V145</f>
        <v>2.9024999999999923</v>
      </c>
      <c r="W145" s="3">
        <f>0.75*Sheet1!W145</f>
        <v>2.6715</v>
      </c>
      <c r="Y145" s="3">
        <f>1.25*Sheet1!Y145</f>
        <v>6.8268750000000002</v>
      </c>
      <c r="Z145" s="3">
        <f>0.5*Sheet1!Z145</f>
        <v>3.5830000000000002</v>
      </c>
      <c r="AA145" s="3">
        <f>0.5*Sheet1!AA145</f>
        <v>2.8692500000000001</v>
      </c>
      <c r="AB145" s="3">
        <f>0.5*Sheet1!AB145</f>
        <v>2.1898749999999998</v>
      </c>
      <c r="AD145" s="3">
        <f t="shared" si="2"/>
        <v>115.83487499999994</v>
      </c>
    </row>
    <row r="146" spans="1:30" s="3" customFormat="1" ht="16" x14ac:dyDescent="0.2">
      <c r="A146" s="2">
        <v>253</v>
      </c>
      <c r="B146" s="2" t="s">
        <v>220</v>
      </c>
      <c r="C146" s="2" t="s">
        <v>221</v>
      </c>
      <c r="D146" s="2" t="s">
        <v>26</v>
      </c>
      <c r="F146" s="3">
        <f>0.75*Sheet1!F146</f>
        <v>2.3647499999999999</v>
      </c>
      <c r="G146" s="3">
        <f>1.25*Sheet1!G146</f>
        <v>0</v>
      </c>
      <c r="H146" s="3">
        <f>1.25*Sheet1!H146</f>
        <v>7.2293749999999877</v>
      </c>
      <c r="J146" s="3">
        <f>1.25*Sheet1!J146</f>
        <v>7.2293749999999877</v>
      </c>
      <c r="K146" s="3">
        <f>1.25*Sheet1!K146</f>
        <v>4.8868749999999874</v>
      </c>
      <c r="L146" s="3">
        <f>1.25*Sheet1!L146</f>
        <v>2.6850000000000001</v>
      </c>
      <c r="M146" s="3">
        <f>1.5*Sheet1!M146</f>
        <v>8.3092500000000005</v>
      </c>
      <c r="N146" s="3">
        <f>1.25*Sheet1!N146</f>
        <v>6.7212499999999995</v>
      </c>
      <c r="O146" s="3">
        <f>1.5*Sheet1!O146</f>
        <v>11.344499999999986</v>
      </c>
      <c r="Q146" s="3">
        <f>1*Sheet1!Q146</f>
        <v>5.3769999999999998</v>
      </c>
      <c r="R146" s="3">
        <f>1.25*Sheet1!R146</f>
        <v>9.453749999999987</v>
      </c>
      <c r="S146" s="3">
        <f>1.5*Sheet1!S146</f>
        <v>12.777000000000001</v>
      </c>
      <c r="T146" s="3">
        <f>1.5*Sheet1!T146</f>
        <v>12.160499999999999</v>
      </c>
      <c r="U146" s="3">
        <f>0.75*Sheet1!U146</f>
        <v>2.1146249999999922</v>
      </c>
      <c r="V146" s="3">
        <f>0.75*Sheet1!V146</f>
        <v>2.8318124999999998</v>
      </c>
      <c r="W146" s="3">
        <f>0.75*Sheet1!W146</f>
        <v>1.41675</v>
      </c>
      <c r="Y146" s="3">
        <f>1.25*Sheet1!Y146</f>
        <v>4.0018750000000001</v>
      </c>
      <c r="Z146" s="3">
        <f>0.5*Sheet1!Z146</f>
        <v>2.9135</v>
      </c>
      <c r="AA146" s="3">
        <f>0.5*Sheet1!AA146</f>
        <v>2.3584999999999949</v>
      </c>
      <c r="AB146" s="3">
        <f>0.5*Sheet1!AB146</f>
        <v>0</v>
      </c>
      <c r="AD146" s="3">
        <f t="shared" si="2"/>
        <v>106.17568749999991</v>
      </c>
    </row>
    <row r="147" spans="1:30" s="3" customFormat="1" ht="16" x14ac:dyDescent="0.2">
      <c r="A147" s="2">
        <v>16</v>
      </c>
      <c r="B147" s="2" t="s">
        <v>222</v>
      </c>
      <c r="C147" s="2" t="s">
        <v>223</v>
      </c>
      <c r="D147" s="2" t="s">
        <v>6</v>
      </c>
      <c r="F147" s="3">
        <f>0.75*Sheet1!F147</f>
        <v>3.6224999999999925</v>
      </c>
      <c r="G147" s="3">
        <f>1.25*Sheet1!G147</f>
        <v>6.2275</v>
      </c>
      <c r="H147" s="3">
        <f>1.25*Sheet1!H147</f>
        <v>5.0775000000000006</v>
      </c>
      <c r="J147" s="3">
        <f>1.25*Sheet1!J147</f>
        <v>5.0775000000000006</v>
      </c>
      <c r="K147" s="3">
        <f>1.25*Sheet1!K147</f>
        <v>0</v>
      </c>
      <c r="L147" s="3">
        <f>1.25*Sheet1!L147</f>
        <v>5.4474999999999998</v>
      </c>
      <c r="M147" s="3">
        <f>1.5*Sheet1!M147</f>
        <v>9.7717500000000008</v>
      </c>
      <c r="N147" s="3">
        <f>1.25*Sheet1!N147</f>
        <v>6.8774999999999995</v>
      </c>
      <c r="O147" s="3">
        <f>1.5*Sheet1!O147</f>
        <v>8.6325000000000003</v>
      </c>
      <c r="Q147" s="3">
        <f>1*Sheet1!Q147</f>
        <v>5.5019999999999998</v>
      </c>
      <c r="R147" s="3">
        <f>1.25*Sheet1!R147</f>
        <v>7.1937499999999996</v>
      </c>
      <c r="S147" s="3">
        <f>1.5*Sheet1!S147</f>
        <v>3.5595000000000003</v>
      </c>
      <c r="T147" s="3">
        <f>1.5*Sheet1!T147</f>
        <v>10.30599999999999</v>
      </c>
      <c r="U147" s="3">
        <f>0.75*Sheet1!U147</f>
        <v>4.4103750000000002</v>
      </c>
      <c r="V147" s="3">
        <f>0.75*Sheet1!V147</f>
        <v>4.3383750000000001</v>
      </c>
      <c r="W147" s="3">
        <f>0.75*Sheet1!W147</f>
        <v>2.7498749999999923</v>
      </c>
      <c r="Y147" s="3">
        <f>1.25*Sheet1!Y147</f>
        <v>6.2350000000000003</v>
      </c>
      <c r="Z147" s="3">
        <f>0.5*Sheet1!Z147</f>
        <v>0</v>
      </c>
      <c r="AA147" s="3">
        <f>0.5*Sheet1!AA147</f>
        <v>1.9897499999999999</v>
      </c>
      <c r="AB147" s="3">
        <f>0.5*Sheet1!AB147</f>
        <v>2.4673750000000001</v>
      </c>
      <c r="AD147" s="3">
        <f t="shared" si="2"/>
        <v>99.486249999999998</v>
      </c>
    </row>
    <row r="148" spans="1:30" s="3" customFormat="1" ht="32" x14ac:dyDescent="0.2">
      <c r="A148" s="2">
        <v>35</v>
      </c>
      <c r="B148" s="2" t="s">
        <v>224</v>
      </c>
      <c r="C148" s="2" t="s">
        <v>225</v>
      </c>
      <c r="D148" s="2" t="s">
        <v>6</v>
      </c>
      <c r="F148" s="3">
        <f>0.75*Sheet1!F148</f>
        <v>0.75</v>
      </c>
      <c r="G148" s="3">
        <f>1.25*Sheet1!G148</f>
        <v>5.3237500000000004</v>
      </c>
      <c r="H148" s="3">
        <f>1.25*Sheet1!H148</f>
        <v>5.0775000000000006</v>
      </c>
      <c r="J148" s="3">
        <f>1.25*Sheet1!J148</f>
        <v>5.0775000000000006</v>
      </c>
      <c r="K148" s="3">
        <f>1.25*Sheet1!K148</f>
        <v>11.956249999999999</v>
      </c>
      <c r="L148" s="3">
        <f>1.25*Sheet1!L148</f>
        <v>12.5</v>
      </c>
      <c r="M148" s="3">
        <f>1.5*Sheet1!M148</f>
        <v>9.7717500000000008</v>
      </c>
      <c r="N148" s="3">
        <f>1.25*Sheet1!N148</f>
        <v>10.838749999999999</v>
      </c>
      <c r="O148" s="3">
        <f>1.5*Sheet1!O148</f>
        <v>12.722250000000001</v>
      </c>
      <c r="Q148" s="3">
        <f>1*Sheet1!Q148</f>
        <v>8.6709999999999994</v>
      </c>
      <c r="R148" s="3">
        <f>1.25*Sheet1!R148</f>
        <v>10.601875</v>
      </c>
      <c r="S148" s="3">
        <f>1.5*Sheet1!S148</f>
        <v>11.613</v>
      </c>
      <c r="T148" s="3">
        <f>1.5*Sheet1!T148</f>
        <v>10.093499999999985</v>
      </c>
      <c r="U148" s="3">
        <f>0.75*Sheet1!U148</f>
        <v>6.468375</v>
      </c>
      <c r="V148" s="3">
        <f>0.75*Sheet1!V148</f>
        <v>6.1278750000000004</v>
      </c>
      <c r="W148" s="3">
        <f>0.75*Sheet1!W148</f>
        <v>2.4112499999999999</v>
      </c>
      <c r="Y148" s="3">
        <f>1.25*Sheet1!Y148</f>
        <v>7.1256249999999994</v>
      </c>
      <c r="Z148" s="3">
        <f>0.5*Sheet1!Z148</f>
        <v>4.282</v>
      </c>
      <c r="AA148" s="3">
        <f>0.5*Sheet1!AA148</f>
        <v>2.8299999999999952</v>
      </c>
      <c r="AB148" s="3">
        <f>0.5*Sheet1!AB148</f>
        <v>2.1981250000000001</v>
      </c>
      <c r="AD148" s="3">
        <f t="shared" si="2"/>
        <v>146.44037499999999</v>
      </c>
    </row>
    <row r="149" spans="1:30" s="3" customFormat="1" ht="16" x14ac:dyDescent="0.2">
      <c r="A149" s="2">
        <v>99</v>
      </c>
      <c r="B149" s="2" t="s">
        <v>226</v>
      </c>
      <c r="C149" s="2" t="s">
        <v>227</v>
      </c>
      <c r="D149" s="2" t="s">
        <v>6</v>
      </c>
      <c r="F149" s="3">
        <f>0.75*Sheet1!F149</f>
        <v>7.145249999999999</v>
      </c>
      <c r="G149" s="3">
        <f>1.25*Sheet1!G149</f>
        <v>11.862500000000001</v>
      </c>
      <c r="H149" s="3">
        <f>1.25*Sheet1!H149</f>
        <v>5.4168750000000001</v>
      </c>
      <c r="J149" s="3">
        <f>1.25*Sheet1!J149</f>
        <v>5.4168750000000001</v>
      </c>
      <c r="K149" s="3">
        <f>1.25*Sheet1!K149</f>
        <v>5.430625</v>
      </c>
      <c r="L149" s="3">
        <f>1.25*Sheet1!L149</f>
        <v>0</v>
      </c>
      <c r="M149" s="3">
        <f>1.5*Sheet1!M149</f>
        <v>5.25075</v>
      </c>
      <c r="N149" s="3">
        <f>1.25*Sheet1!N149</f>
        <v>7.2062499999999874</v>
      </c>
      <c r="O149" s="3">
        <f>1.5*Sheet1!O149</f>
        <v>12.236250000000002</v>
      </c>
      <c r="Q149" s="3">
        <f>1*Sheet1!Q149</f>
        <v>5.7649999999999899</v>
      </c>
      <c r="R149" s="3">
        <f>1.25*Sheet1!R149</f>
        <v>10.196875</v>
      </c>
      <c r="S149" s="3">
        <f>1.5*Sheet1!S149</f>
        <v>9.7080000000000002</v>
      </c>
      <c r="T149" s="3">
        <f>1.5*Sheet1!T149</f>
        <v>10.551499999999995</v>
      </c>
      <c r="U149" s="3">
        <f>0.75*Sheet1!U149</f>
        <v>0.90712499999999996</v>
      </c>
      <c r="V149" s="3">
        <f>0.75*Sheet1!V149</f>
        <v>2.5074375</v>
      </c>
      <c r="W149" s="3">
        <f>0.75*Sheet1!W149</f>
        <v>1.2971249999999925</v>
      </c>
      <c r="Y149" s="3">
        <f>1.25*Sheet1!Y149</f>
        <v>5.1156250000000005</v>
      </c>
      <c r="Z149" s="3">
        <f>0.5*Sheet1!Z149</f>
        <v>3.8285</v>
      </c>
      <c r="AA149" s="3">
        <f>0.5*Sheet1!AA149</f>
        <v>1.7382500000000001</v>
      </c>
      <c r="AB149" s="3">
        <f>0.5*Sheet1!AB149</f>
        <v>2.1727500000000002</v>
      </c>
      <c r="AD149" s="3">
        <f t="shared" si="2"/>
        <v>113.75356249999994</v>
      </c>
    </row>
    <row r="150" spans="1:30" s="3" customFormat="1" ht="16" x14ac:dyDescent="0.2">
      <c r="A150" s="2">
        <v>155</v>
      </c>
      <c r="B150" s="2" t="s">
        <v>228</v>
      </c>
      <c r="C150" s="2" t="s">
        <v>227</v>
      </c>
      <c r="D150" s="2" t="s">
        <v>6</v>
      </c>
      <c r="F150" s="3">
        <f>0.75*Sheet1!F150</f>
        <v>6.27</v>
      </c>
      <c r="G150" s="3">
        <f>1.25*Sheet1!G150</f>
        <v>11.555</v>
      </c>
      <c r="H150" s="3">
        <f>1.25*Sheet1!H150</f>
        <v>5.4168750000000001</v>
      </c>
      <c r="J150" s="3">
        <f>1.25*Sheet1!J150</f>
        <v>5.4168750000000001</v>
      </c>
      <c r="K150" s="3">
        <f>1.25*Sheet1!K150</f>
        <v>9.3499999999999872</v>
      </c>
      <c r="L150" s="3">
        <f>1.25*Sheet1!L150</f>
        <v>3.2925</v>
      </c>
      <c r="M150" s="3">
        <f>1.5*Sheet1!M150</f>
        <v>5.25075</v>
      </c>
      <c r="N150" s="3">
        <f>1.25*Sheet1!N150</f>
        <v>7.2012499999999875</v>
      </c>
      <c r="O150" s="3">
        <f>1.5*Sheet1!O150</f>
        <v>10.633500000000002</v>
      </c>
      <c r="Q150" s="3">
        <f>1*Sheet1!Q150</f>
        <v>5.7609999999999904</v>
      </c>
      <c r="R150" s="3">
        <f>1.25*Sheet1!R150</f>
        <v>8.8612500000000001</v>
      </c>
      <c r="S150" s="3">
        <f>1.5*Sheet1!S150</f>
        <v>8.1960000000000015</v>
      </c>
      <c r="T150" s="3">
        <f>1.5*Sheet1!T150</f>
        <v>9.5699999999999861</v>
      </c>
      <c r="U150" s="3">
        <f>0.75*Sheet1!U150</f>
        <v>1.2847500000000001</v>
      </c>
      <c r="V150" s="3">
        <f>0.75*Sheet1!V150</f>
        <v>1.8796875000000002</v>
      </c>
      <c r="W150" s="3">
        <f>0.75*Sheet1!W150</f>
        <v>2.1524999999999999</v>
      </c>
      <c r="Y150" s="3">
        <f>1.25*Sheet1!Y150</f>
        <v>7.3006249999999993</v>
      </c>
      <c r="Z150" s="3">
        <f>0.5*Sheet1!Z150</f>
        <v>4.9809999999999999</v>
      </c>
      <c r="AA150" s="3">
        <f>0.5*Sheet1!AA150</f>
        <v>1.9570000000000001</v>
      </c>
      <c r="AB150" s="3">
        <f>0.5*Sheet1!AB150</f>
        <v>1.903</v>
      </c>
      <c r="AD150" s="3">
        <f t="shared" si="2"/>
        <v>118.23356249999995</v>
      </c>
    </row>
    <row r="151" spans="1:30" s="3" customFormat="1" ht="16" x14ac:dyDescent="0.2">
      <c r="A151" s="2">
        <v>77</v>
      </c>
      <c r="B151" s="2" t="s">
        <v>229</v>
      </c>
      <c r="C151" s="2" t="s">
        <v>230</v>
      </c>
      <c r="D151" s="2" t="s">
        <v>6</v>
      </c>
      <c r="F151" s="3">
        <f>0.75*Sheet1!F151</f>
        <v>4.6672500000000001</v>
      </c>
      <c r="G151" s="3">
        <f>1.25*Sheet1!G151</f>
        <v>7.54</v>
      </c>
      <c r="H151" s="3">
        <f>1.25*Sheet1!H151</f>
        <v>4.7231250000000005</v>
      </c>
      <c r="J151" s="3">
        <f>1.25*Sheet1!J151</f>
        <v>4.7231250000000005</v>
      </c>
      <c r="K151" s="3">
        <f>1.25*Sheet1!K151</f>
        <v>6.7518750000000001</v>
      </c>
      <c r="L151" s="3">
        <f>1.25*Sheet1!L151</f>
        <v>6.479999999999988</v>
      </c>
      <c r="M151" s="3">
        <f>1.5*Sheet1!M151</f>
        <v>9.7717500000000008</v>
      </c>
      <c r="N151" s="3">
        <f>1.25*Sheet1!N151</f>
        <v>10.838749999999999</v>
      </c>
      <c r="O151" s="3">
        <f>1.5*Sheet1!O151</f>
        <v>5.5169999999999995</v>
      </c>
      <c r="Q151" s="3">
        <f>1*Sheet1!Q151</f>
        <v>8.6709999999999994</v>
      </c>
      <c r="R151" s="3">
        <f>1.25*Sheet1!R151</f>
        <v>4.5975000000000001</v>
      </c>
      <c r="S151" s="3">
        <f>1.5*Sheet1!S151</f>
        <v>6.6922499999999996</v>
      </c>
      <c r="T151" s="3">
        <f>1.5*Sheet1!T151</f>
        <v>8.6794999999999938</v>
      </c>
      <c r="U151" s="3">
        <f>0.75*Sheet1!U151</f>
        <v>4.3638750000000002</v>
      </c>
      <c r="V151" s="3">
        <f>0.75*Sheet1!V151</f>
        <v>3.0350625000000004</v>
      </c>
      <c r="W151" s="3">
        <f>0.75*Sheet1!W151</f>
        <v>2.730375</v>
      </c>
      <c r="Y151" s="3">
        <f>1.25*Sheet1!Y151</f>
        <v>7.7087500000000002</v>
      </c>
      <c r="Z151" s="3">
        <f>0.5*Sheet1!Z151</f>
        <v>3.7389999999999999</v>
      </c>
      <c r="AA151" s="3">
        <f>0.5*Sheet1!AA151</f>
        <v>2.6937499999999952</v>
      </c>
      <c r="AB151" s="3">
        <f>0.5*Sheet1!AB151</f>
        <v>0.46649999999999953</v>
      </c>
      <c r="AD151" s="3">
        <f t="shared" si="2"/>
        <v>114.39043749999998</v>
      </c>
    </row>
    <row r="152" spans="1:30" s="3" customFormat="1" ht="32" x14ac:dyDescent="0.2">
      <c r="A152" s="2">
        <v>159</v>
      </c>
      <c r="B152" s="2" t="s">
        <v>231</v>
      </c>
      <c r="C152" s="2" t="s">
        <v>232</v>
      </c>
      <c r="D152" s="2" t="s">
        <v>6</v>
      </c>
      <c r="F152" s="3">
        <f>0.75*Sheet1!F152</f>
        <v>3.5538750000000001</v>
      </c>
      <c r="G152" s="3">
        <f>1.25*Sheet1!G152</f>
        <v>6.3025000000000002</v>
      </c>
      <c r="H152" s="3">
        <f>1.25*Sheet1!H152</f>
        <v>5.0775000000000006</v>
      </c>
      <c r="J152" s="3">
        <f>1.25*Sheet1!J152</f>
        <v>5.0775000000000006</v>
      </c>
      <c r="K152" s="3">
        <f>1.25*Sheet1!K152</f>
        <v>8.1581249999999876</v>
      </c>
      <c r="L152" s="3">
        <f>1.25*Sheet1!L152</f>
        <v>6.9037499999999996</v>
      </c>
      <c r="M152" s="3">
        <f>1.5*Sheet1!M152</f>
        <v>9.7717500000000008</v>
      </c>
      <c r="N152" s="3">
        <f>1.25*Sheet1!N152</f>
        <v>10.838749999999999</v>
      </c>
      <c r="O152" s="3">
        <f>1.5*Sheet1!O152</f>
        <v>10.932</v>
      </c>
      <c r="Q152" s="3">
        <f>1*Sheet1!Q152</f>
        <v>8.6709999999999994</v>
      </c>
      <c r="R152" s="3">
        <f>1.25*Sheet1!R152</f>
        <v>9.11</v>
      </c>
      <c r="S152" s="3">
        <f>1.5*Sheet1!S152</f>
        <v>7.6274999999999995</v>
      </c>
      <c r="T152" s="3">
        <f>1.5*Sheet1!T152</f>
        <v>10.021499999999985</v>
      </c>
      <c r="U152" s="3">
        <f>0.75*Sheet1!U152</f>
        <v>3.9558749999999998</v>
      </c>
      <c r="V152" s="3">
        <f>0.75*Sheet1!V152</f>
        <v>6.2714999999999996</v>
      </c>
      <c r="W152" s="3">
        <f>0.75*Sheet1!W152</f>
        <v>2.6579999999999999</v>
      </c>
      <c r="Y152" s="3">
        <f>1.25*Sheet1!Y152</f>
        <v>7.8231249999999877</v>
      </c>
      <c r="Z152" s="3">
        <f>0.5*Sheet1!Z152</f>
        <v>3.4252500000000001</v>
      </c>
      <c r="AA152" s="3">
        <f>0.5*Sheet1!AA152</f>
        <v>2.5479999999999952</v>
      </c>
      <c r="AB152" s="3">
        <f>0.5*Sheet1!AB152</f>
        <v>2.462499999999995</v>
      </c>
      <c r="AD152" s="3">
        <f t="shared" si="2"/>
        <v>131.18999999999997</v>
      </c>
    </row>
    <row r="153" spans="1:30" s="3" customFormat="1" ht="16" x14ac:dyDescent="0.2">
      <c r="A153" s="2">
        <v>117</v>
      </c>
      <c r="B153" s="2" t="s">
        <v>233</v>
      </c>
      <c r="C153" s="2" t="s">
        <v>234</v>
      </c>
      <c r="D153" s="2" t="s">
        <v>6</v>
      </c>
      <c r="F153" s="3">
        <f>0.75*Sheet1!F153</f>
        <v>5.0306249999999997</v>
      </c>
      <c r="G153" s="3">
        <f>1.25*Sheet1!G153</f>
        <v>7.3050000000000006</v>
      </c>
      <c r="H153" s="3">
        <f>1.25*Sheet1!H153</f>
        <v>5.0775000000000006</v>
      </c>
      <c r="J153" s="3">
        <f>1.25*Sheet1!J153</f>
        <v>5.0775000000000006</v>
      </c>
      <c r="K153" s="3">
        <f>1.25*Sheet1!K153</f>
        <v>3.4924999999999873</v>
      </c>
      <c r="L153" s="3">
        <f>1.25*Sheet1!L153</f>
        <v>4.4224999999999994</v>
      </c>
      <c r="M153" s="3">
        <f>1.5*Sheet1!M153</f>
        <v>9.7717500000000008</v>
      </c>
      <c r="N153" s="3">
        <f>1.25*Sheet1!N153</f>
        <v>10.838749999999999</v>
      </c>
      <c r="O153" s="3">
        <f>1.5*Sheet1!O153</f>
        <v>7.5307500000000003</v>
      </c>
      <c r="Q153" s="3">
        <f>1*Sheet1!Q153</f>
        <v>8.6709999999999994</v>
      </c>
      <c r="R153" s="3">
        <f>1.25*Sheet1!R153</f>
        <v>6.2756249999999998</v>
      </c>
      <c r="S153" s="3">
        <f>1.5*Sheet1!S153</f>
        <v>6.6337500000000009</v>
      </c>
      <c r="T153" s="3">
        <f>1.5*Sheet1!T153</f>
        <v>9.6744999999999912</v>
      </c>
      <c r="U153" s="3">
        <f>0.75*Sheet1!U153</f>
        <v>2.718375</v>
      </c>
      <c r="V153" s="3">
        <f>0.75*Sheet1!V153</f>
        <v>5.9823749999999993</v>
      </c>
      <c r="W153" s="3">
        <f>0.75*Sheet1!W153</f>
        <v>1.4017499999999925</v>
      </c>
      <c r="Y153" s="3">
        <f>1.25*Sheet1!Y153</f>
        <v>10.235624999999999</v>
      </c>
      <c r="Z153" s="3">
        <f>0.5*Sheet1!Z153</f>
        <v>3.33725</v>
      </c>
      <c r="AA153" s="3">
        <f>0.5*Sheet1!AA153</f>
        <v>2.0807500000000001</v>
      </c>
      <c r="AB153" s="3">
        <f>0.5*Sheet1!AB153</f>
        <v>0.98624999999999996</v>
      </c>
      <c r="AD153" s="3">
        <f t="shared" si="2"/>
        <v>116.54412499999997</v>
      </c>
    </row>
    <row r="154" spans="1:30" s="3" customFormat="1" ht="16" x14ac:dyDescent="0.2">
      <c r="A154" s="2">
        <v>229</v>
      </c>
      <c r="B154" s="2" t="s">
        <v>235</v>
      </c>
      <c r="C154" s="2" t="s">
        <v>234</v>
      </c>
      <c r="D154" s="2" t="s">
        <v>6</v>
      </c>
      <c r="F154" s="3">
        <f>0.75*Sheet1!F154</f>
        <v>5.2185000000000006</v>
      </c>
      <c r="G154" s="3">
        <f>1.25*Sheet1!G154</f>
        <v>6.879999999999999</v>
      </c>
      <c r="H154" s="3">
        <f>1.25*Sheet1!H154</f>
        <v>5.0775000000000006</v>
      </c>
      <c r="J154" s="3">
        <f>1.25*Sheet1!J154</f>
        <v>5.0775000000000006</v>
      </c>
      <c r="K154" s="3">
        <f>1.25*Sheet1!K154</f>
        <v>6.78</v>
      </c>
      <c r="L154" s="3">
        <f>1.25*Sheet1!L154</f>
        <v>4.8562499999999993</v>
      </c>
      <c r="M154" s="3">
        <f>1.5*Sheet1!M154</f>
        <v>9.7717500000000008</v>
      </c>
      <c r="N154" s="3">
        <f>1.25*Sheet1!N154</f>
        <v>10.838749999999999</v>
      </c>
      <c r="O154" s="3">
        <f>1.5*Sheet1!O154</f>
        <v>6.5639999999999841</v>
      </c>
      <c r="Q154" s="3">
        <f>1*Sheet1!Q154</f>
        <v>8.6709999999999994</v>
      </c>
      <c r="R154" s="3">
        <f>1.25*Sheet1!R154</f>
        <v>5.4699999999999873</v>
      </c>
      <c r="S154" s="3">
        <f>1.5*Sheet1!S154</f>
        <v>5.8207500000000003</v>
      </c>
      <c r="T154" s="3">
        <f>1.5*Sheet1!T154</f>
        <v>10.004999999999985</v>
      </c>
      <c r="U154" s="3">
        <f>0.75*Sheet1!U154</f>
        <v>3.9536249999999997</v>
      </c>
      <c r="V154" s="3">
        <f>0.75*Sheet1!V154</f>
        <v>5.5306875</v>
      </c>
      <c r="W154" s="3">
        <f>0.75*Sheet1!W154</f>
        <v>1.898625</v>
      </c>
      <c r="Y154" s="3">
        <f>1.25*Sheet1!Y154</f>
        <v>11.13625</v>
      </c>
      <c r="Z154" s="3">
        <f>0.5*Sheet1!Z154</f>
        <v>3.82125</v>
      </c>
      <c r="AA154" s="3">
        <f>0.5*Sheet1!AA154</f>
        <v>2.41425</v>
      </c>
      <c r="AB154" s="3">
        <f>0.5*Sheet1!AB154</f>
        <v>2.5427499999999998</v>
      </c>
      <c r="AD154" s="3">
        <f t="shared" si="2"/>
        <v>122.32843749999995</v>
      </c>
    </row>
    <row r="155" spans="1:30" s="3" customFormat="1" ht="16" x14ac:dyDescent="0.2">
      <c r="A155" s="2">
        <v>61</v>
      </c>
      <c r="B155" s="2" t="s">
        <v>236</v>
      </c>
      <c r="C155" s="2" t="s">
        <v>237</v>
      </c>
      <c r="D155" s="2" t="s">
        <v>26</v>
      </c>
      <c r="F155" s="3">
        <f>0.75*Sheet1!F155</f>
        <v>7.2573749999999926</v>
      </c>
      <c r="G155" s="3">
        <f>1.25*Sheet1!G155</f>
        <v>11.678750000000001</v>
      </c>
      <c r="H155" s="3">
        <f>1.25*Sheet1!H155</f>
        <v>7.7906250000000004</v>
      </c>
      <c r="J155" s="3">
        <f>1.25*Sheet1!J155</f>
        <v>7.7906250000000004</v>
      </c>
      <c r="K155" s="3">
        <f>1.25*Sheet1!K155</f>
        <v>3.816875</v>
      </c>
      <c r="L155" s="3">
        <f>1.25*Sheet1!L155</f>
        <v>0</v>
      </c>
      <c r="M155" s="3">
        <f>1.5*Sheet1!M155</f>
        <v>5.9647500000000004</v>
      </c>
      <c r="N155" s="3">
        <f>1.25*Sheet1!N155</f>
        <v>6.8041666666666618</v>
      </c>
      <c r="O155" s="3">
        <f>1.5*Sheet1!O155</f>
        <v>9.9704999999999835</v>
      </c>
      <c r="Q155" s="3">
        <f>1*Sheet1!Q155</f>
        <v>5.4433333333333298</v>
      </c>
      <c r="R155" s="3">
        <f>1.25*Sheet1!R155</f>
        <v>8.3087499999999874</v>
      </c>
      <c r="S155" s="3">
        <f>1.5*Sheet1!S155</f>
        <v>11.441999999999986</v>
      </c>
      <c r="T155" s="3">
        <f>1.5*Sheet1!T155</f>
        <v>7.5989999999999851</v>
      </c>
      <c r="U155" s="3">
        <f>0.75*Sheet1!U155</f>
        <v>1.049625</v>
      </c>
      <c r="V155" s="3">
        <f>0.75*Sheet1!V155</f>
        <v>3.2536874999999923</v>
      </c>
      <c r="W155" s="3">
        <f>0.75*Sheet1!W155</f>
        <v>1.201875</v>
      </c>
      <c r="Y155" s="3">
        <f>1.25*Sheet1!Y155</f>
        <v>6.7018750000000002</v>
      </c>
      <c r="Z155" s="3">
        <f>0.5*Sheet1!Z155</f>
        <v>1.3560000000000001</v>
      </c>
      <c r="AA155" s="3">
        <f>0.5*Sheet1!AA155</f>
        <v>1.5605</v>
      </c>
      <c r="AB155" s="3">
        <f>0.5*Sheet1!AB155</f>
        <v>2.7475000000000001</v>
      </c>
      <c r="AD155" s="3">
        <f t="shared" si="2"/>
        <v>111.73781249999995</v>
      </c>
    </row>
    <row r="156" spans="1:30" s="3" customFormat="1" ht="16" x14ac:dyDescent="0.2">
      <c r="A156" s="2">
        <v>37</v>
      </c>
      <c r="B156" s="2" t="s">
        <v>238</v>
      </c>
      <c r="C156" s="2" t="s">
        <v>239</v>
      </c>
      <c r="D156" s="2" t="s">
        <v>6</v>
      </c>
      <c r="F156" s="3">
        <f>0.75*Sheet1!F156</f>
        <v>2.2117499999999999</v>
      </c>
      <c r="G156" s="3">
        <f>1.25*Sheet1!G156</f>
        <v>0</v>
      </c>
      <c r="H156" s="3">
        <f>1.25*Sheet1!H156</f>
        <v>5.0775000000000006</v>
      </c>
      <c r="J156" s="3">
        <f>1.25*Sheet1!J156</f>
        <v>5.0775000000000006</v>
      </c>
      <c r="K156" s="3">
        <f>1.25*Sheet1!K156</f>
        <v>4.25875</v>
      </c>
      <c r="L156" s="3">
        <f>1.25*Sheet1!L156</f>
        <v>0</v>
      </c>
      <c r="M156" s="3">
        <f>1.5*Sheet1!M156</f>
        <v>9.7717500000000008</v>
      </c>
      <c r="N156" s="3">
        <f>1.25*Sheet1!N156</f>
        <v>10.838749999999999</v>
      </c>
      <c r="O156" s="3">
        <f>1.5*Sheet1!O156</f>
        <v>10.940249999999999</v>
      </c>
      <c r="Q156" s="3">
        <f>1*Sheet1!Q156</f>
        <v>8.6709999999999994</v>
      </c>
      <c r="R156" s="3">
        <f>1.25*Sheet1!R156</f>
        <v>9.1168750000000003</v>
      </c>
      <c r="S156" s="3">
        <f>1.5*Sheet1!S156</f>
        <v>10.37175</v>
      </c>
      <c r="T156" s="3">
        <f>1.5*Sheet1!T156</f>
        <v>9.7724999999999991</v>
      </c>
      <c r="U156" s="3">
        <f>0.75*Sheet1!U156</f>
        <v>3.0960000000000001</v>
      </c>
      <c r="V156" s="3">
        <f>0.75*Sheet1!V156</f>
        <v>7.0267499999999998</v>
      </c>
      <c r="W156" s="3">
        <f>0.75*Sheet1!W156</f>
        <v>0.89287499999999986</v>
      </c>
      <c r="Y156" s="3">
        <f>1.25*Sheet1!Y156</f>
        <v>6.4449999999999994</v>
      </c>
      <c r="Z156" s="3">
        <f>0.5*Sheet1!Z156</f>
        <v>0.95349999999999502</v>
      </c>
      <c r="AA156" s="3">
        <f>0.5*Sheet1!AA156</f>
        <v>3.0670000000000002</v>
      </c>
      <c r="AB156" s="3">
        <f>0.5*Sheet1!AB156</f>
        <v>0</v>
      </c>
      <c r="AD156" s="3">
        <f t="shared" si="2"/>
        <v>107.58949999999999</v>
      </c>
    </row>
    <row r="157" spans="1:30" s="3" customFormat="1" ht="16" x14ac:dyDescent="0.2">
      <c r="A157" s="2">
        <v>54</v>
      </c>
      <c r="B157" s="2" t="s">
        <v>240</v>
      </c>
      <c r="C157" s="2" t="s">
        <v>241</v>
      </c>
      <c r="D157" s="2" t="s">
        <v>103</v>
      </c>
      <c r="F157" s="3">
        <f>0.75*Sheet1!F157</f>
        <v>6.6164999999999994</v>
      </c>
      <c r="G157" s="3">
        <f>1.25*Sheet1!G157</f>
        <v>11.36</v>
      </c>
      <c r="H157" s="3">
        <f>1.25*Sheet1!H157</f>
        <v>4.1243749999999872</v>
      </c>
      <c r="J157" s="3">
        <f>1.25*Sheet1!J157</f>
        <v>4.1243749999999872</v>
      </c>
      <c r="K157" s="3">
        <f>1.25*Sheet1!K157</f>
        <v>3.8718749999999873</v>
      </c>
      <c r="L157" s="3">
        <f>1.25*Sheet1!L157</f>
        <v>0</v>
      </c>
      <c r="M157" s="3">
        <f>1.5*Sheet1!M157</f>
        <v>4.760249999999985</v>
      </c>
      <c r="N157" s="3">
        <f>1.25*Sheet1!N157</f>
        <v>7.0179166666666628</v>
      </c>
      <c r="O157" s="3">
        <f>1.5*Sheet1!O157</f>
        <v>4.4174999999999995</v>
      </c>
      <c r="Q157" s="3">
        <f>1*Sheet1!Q157</f>
        <v>5.6143333333333301</v>
      </c>
      <c r="R157" s="3">
        <f>1.25*Sheet1!R157</f>
        <v>3.6812499999999999</v>
      </c>
      <c r="S157" s="3">
        <f>1.5*Sheet1!S157</f>
        <v>10.16325</v>
      </c>
      <c r="T157" s="3">
        <f>1.5*Sheet1!T157</f>
        <v>6.7050000000000001</v>
      </c>
      <c r="U157" s="3">
        <f>0.75*Sheet1!U157</f>
        <v>0</v>
      </c>
      <c r="V157" s="3">
        <f>0.75*Sheet1!V157</f>
        <v>1.6916250000000002</v>
      </c>
      <c r="W157" s="3">
        <f>0.75*Sheet1!W157</f>
        <v>2.1858749999999998</v>
      </c>
      <c r="Y157" s="3">
        <f>1.25*Sheet1!Y157</f>
        <v>2.5837500000000002</v>
      </c>
      <c r="Z157" s="3">
        <f>0.5*Sheet1!Z157</f>
        <v>1.3414999999999999</v>
      </c>
      <c r="AA157" s="3">
        <f>0.5*Sheet1!AA157</f>
        <v>1.99675</v>
      </c>
      <c r="AB157" s="3">
        <f>0.5*Sheet1!AB157</f>
        <v>2.13</v>
      </c>
      <c r="AD157" s="3">
        <f t="shared" si="2"/>
        <v>84.386124999999922</v>
      </c>
    </row>
    <row r="158" spans="1:30" s="3" customFormat="1" ht="16" x14ac:dyDescent="0.2">
      <c r="A158" s="2">
        <v>175</v>
      </c>
      <c r="B158" s="2" t="s">
        <v>242</v>
      </c>
      <c r="C158" s="2" t="s">
        <v>243</v>
      </c>
      <c r="D158" s="2" t="s">
        <v>6</v>
      </c>
      <c r="F158" s="3">
        <f>0.75*Sheet1!F158</f>
        <v>5.2803749999999994</v>
      </c>
      <c r="G158" s="3">
        <f>1.25*Sheet1!G158</f>
        <v>7.4924999999999997</v>
      </c>
      <c r="H158" s="3">
        <f>1.25*Sheet1!H158</f>
        <v>5.2549999999999999</v>
      </c>
      <c r="J158" s="3">
        <f>1.25*Sheet1!J158</f>
        <v>5.2549999999999999</v>
      </c>
      <c r="K158" s="3">
        <f>1.25*Sheet1!K158</f>
        <v>5.0149999999999997</v>
      </c>
      <c r="L158" s="3">
        <f>1.25*Sheet1!L158</f>
        <v>0</v>
      </c>
      <c r="M158" s="3">
        <f>1.5*Sheet1!M158</f>
        <v>9.7717500000000008</v>
      </c>
      <c r="N158" s="3">
        <f>1.25*Sheet1!N158</f>
        <v>10.838749999999999</v>
      </c>
      <c r="O158" s="3">
        <f>1.5*Sheet1!O158</f>
        <v>8.7014999999999851</v>
      </c>
      <c r="Q158" s="3">
        <f>1*Sheet1!Q158</f>
        <v>8.6709999999999994</v>
      </c>
      <c r="R158" s="3">
        <f>1.25*Sheet1!R158</f>
        <v>7.2512499999999882</v>
      </c>
      <c r="S158" s="3">
        <f>1.5*Sheet1!S158</f>
        <v>8.3279999999999994</v>
      </c>
      <c r="T158" s="3">
        <f>1.5*Sheet1!T158</f>
        <v>10.340999999999985</v>
      </c>
      <c r="U158" s="3">
        <f>0.75*Sheet1!U158</f>
        <v>3.0960000000000001</v>
      </c>
      <c r="V158" s="3">
        <f>0.75*Sheet1!V158</f>
        <v>5.907</v>
      </c>
      <c r="W158" s="3">
        <f>0.75*Sheet1!W158</f>
        <v>1.0623750000000001</v>
      </c>
      <c r="Y158" s="3">
        <f>1.25*Sheet1!Y158</f>
        <v>7.8831249999999997</v>
      </c>
      <c r="Z158" s="3">
        <f>0.5*Sheet1!Z158</f>
        <v>2.4710000000000001</v>
      </c>
      <c r="AA158" s="3">
        <f>0.5*Sheet1!AA158</f>
        <v>2.0905</v>
      </c>
      <c r="AB158" s="3">
        <f>0.5*Sheet1!AB158</f>
        <v>1.0638749999999999</v>
      </c>
      <c r="AD158" s="3">
        <f t="shared" si="2"/>
        <v>115.77499999999996</v>
      </c>
    </row>
    <row r="159" spans="1:30" s="3" customFormat="1" ht="16" x14ac:dyDescent="0.2">
      <c r="A159" s="2">
        <v>119</v>
      </c>
      <c r="B159" s="2" t="s">
        <v>244</v>
      </c>
      <c r="C159" s="2" t="s">
        <v>245</v>
      </c>
      <c r="D159" s="2" t="s">
        <v>16</v>
      </c>
      <c r="F159" s="3">
        <f>0.75*Sheet1!F159</f>
        <v>7.5</v>
      </c>
      <c r="G159" s="3">
        <f>1.25*Sheet1!G159</f>
        <v>11.80625</v>
      </c>
      <c r="H159" s="3">
        <f>1.25*Sheet1!H159</f>
        <v>6.8912499999999994</v>
      </c>
      <c r="J159" s="3">
        <f>1.25*Sheet1!J159</f>
        <v>6.8912499999999994</v>
      </c>
      <c r="K159" s="3">
        <f>1.25*Sheet1!K159</f>
        <v>4.0137499999999999</v>
      </c>
      <c r="L159" s="3">
        <f>1.25*Sheet1!L159</f>
        <v>0</v>
      </c>
      <c r="M159" s="3">
        <f>1.5*Sheet1!M159</f>
        <v>6.7440000000000007</v>
      </c>
      <c r="N159" s="3">
        <f>1.25*Sheet1!N159</f>
        <v>5.9254166666666634</v>
      </c>
      <c r="O159" s="3">
        <f>1.5*Sheet1!O159</f>
        <v>13.6935</v>
      </c>
      <c r="Q159" s="3">
        <f>1*Sheet1!Q159</f>
        <v>4.7403333333333304</v>
      </c>
      <c r="R159" s="3">
        <f>1.25*Sheet1!R159</f>
        <v>11.411249999999999</v>
      </c>
      <c r="S159" s="3">
        <f>1.5*Sheet1!S159</f>
        <v>12.75825</v>
      </c>
      <c r="T159" s="3">
        <f>1.5*Sheet1!T159</f>
        <v>6.1739999999999853</v>
      </c>
      <c r="U159" s="3">
        <f>0.75*Sheet1!U159</f>
        <v>0</v>
      </c>
      <c r="V159" s="3">
        <f>0.75*Sheet1!V159</f>
        <v>0.75</v>
      </c>
      <c r="W159" s="3">
        <f>0.75*Sheet1!W159</f>
        <v>0.78074999999999994</v>
      </c>
      <c r="Y159" s="3">
        <f>1.25*Sheet1!Y159</f>
        <v>2.7512500000000002</v>
      </c>
      <c r="Z159" s="3">
        <f>0.5*Sheet1!Z159</f>
        <v>2.5194999999999999</v>
      </c>
      <c r="AA159" s="3">
        <f>0.5*Sheet1!AA159</f>
        <v>1.8989999999999949</v>
      </c>
      <c r="AB159" s="3">
        <f>0.5*Sheet1!AB159</f>
        <v>2.6744999999999952</v>
      </c>
      <c r="AD159" s="3">
        <f t="shared" si="2"/>
        <v>109.92424999999996</v>
      </c>
    </row>
    <row r="160" spans="1:30" s="3" customFormat="1" ht="16" x14ac:dyDescent="0.2">
      <c r="A160" s="2">
        <v>4</v>
      </c>
      <c r="B160" s="2" t="s">
        <v>246</v>
      </c>
      <c r="C160" s="2" t="s">
        <v>247</v>
      </c>
      <c r="D160" s="2" t="s">
        <v>26</v>
      </c>
      <c r="F160" s="3">
        <f>0.75*Sheet1!F160</f>
        <v>2.2897499999999926</v>
      </c>
      <c r="G160" s="3">
        <f>1.25*Sheet1!G160</f>
        <v>4.7799999999999994</v>
      </c>
      <c r="H160" s="3">
        <f>1.25*Sheet1!H160</f>
        <v>6.1937499999999881</v>
      </c>
      <c r="J160" s="3">
        <f>1.25*Sheet1!J160</f>
        <v>6.1937499999999881</v>
      </c>
      <c r="K160" s="3">
        <f>1.25*Sheet1!K160</f>
        <v>9.9643750000000004</v>
      </c>
      <c r="L160" s="3">
        <f>1.25*Sheet1!L160</f>
        <v>7.63375</v>
      </c>
      <c r="M160" s="3">
        <f>1.5*Sheet1!M160</f>
        <v>7.5794999999999995</v>
      </c>
      <c r="N160" s="3">
        <f>1.25*Sheet1!N160</f>
        <v>11.045833333333325</v>
      </c>
      <c r="O160" s="3">
        <f>1.5*Sheet1!O160</f>
        <v>12.552</v>
      </c>
      <c r="Q160" s="3">
        <f>1*Sheet1!Q160</f>
        <v>8.8366666666666607</v>
      </c>
      <c r="R160" s="3">
        <f>1.25*Sheet1!R160</f>
        <v>10.46</v>
      </c>
      <c r="S160" s="3">
        <f>1.5*Sheet1!S160</f>
        <v>12.75525</v>
      </c>
      <c r="T160" s="3">
        <f>1.5*Sheet1!T160</f>
        <v>11.860999999999995</v>
      </c>
      <c r="U160" s="3">
        <f>0.75*Sheet1!U160</f>
        <v>4.6349999999999998</v>
      </c>
      <c r="V160" s="3">
        <f>0.75*Sheet1!V160</f>
        <v>5.6979375000000001</v>
      </c>
      <c r="W160" s="3">
        <f>0.75*Sheet1!W160</f>
        <v>6.2433750000000003</v>
      </c>
      <c r="Y160" s="3">
        <f>1.25*Sheet1!Y160</f>
        <v>5.6537499999999996</v>
      </c>
      <c r="Z160" s="3">
        <f>0.5*Sheet1!Z160</f>
        <v>4.4370000000000003</v>
      </c>
      <c r="AA160" s="3">
        <f>0.5*Sheet1!AA160</f>
        <v>2.6534999999999949</v>
      </c>
      <c r="AB160" s="3">
        <f>0.5*Sheet1!AB160</f>
        <v>3.05925</v>
      </c>
      <c r="AD160" s="3">
        <f t="shared" si="2"/>
        <v>144.52543749999998</v>
      </c>
    </row>
    <row r="161" spans="1:30" s="3" customFormat="1" ht="16" x14ac:dyDescent="0.2">
      <c r="A161" s="2">
        <v>85</v>
      </c>
      <c r="B161" s="2" t="s">
        <v>248</v>
      </c>
      <c r="C161" s="2" t="s">
        <v>247</v>
      </c>
      <c r="D161" s="2" t="s">
        <v>26</v>
      </c>
      <c r="F161" s="3">
        <f>0.75*Sheet1!F161</f>
        <v>4.6890000000000001</v>
      </c>
      <c r="G161" s="3">
        <f>1.25*Sheet1!G161</f>
        <v>6.40625</v>
      </c>
      <c r="H161" s="3">
        <f>1.25*Sheet1!H161</f>
        <v>6.1937499999999881</v>
      </c>
      <c r="J161" s="3">
        <f>1.25*Sheet1!J161</f>
        <v>6.1937499999999881</v>
      </c>
      <c r="K161" s="3">
        <f>1.25*Sheet1!K161</f>
        <v>4.4256249999999877</v>
      </c>
      <c r="L161" s="3">
        <f>1.25*Sheet1!L161</f>
        <v>3.7712499999999998</v>
      </c>
      <c r="M161" s="3">
        <f>1.5*Sheet1!M161</f>
        <v>7.5794999999999995</v>
      </c>
      <c r="N161" s="3">
        <f>1.25*Sheet1!N161</f>
        <v>11.045833333333325</v>
      </c>
      <c r="O161" s="3">
        <f>1.5*Sheet1!O161</f>
        <v>14.013749999999998</v>
      </c>
      <c r="Q161" s="3">
        <f>1*Sheet1!Q161</f>
        <v>8.8366666666666607</v>
      </c>
      <c r="R161" s="3">
        <f>1.25*Sheet1!R161</f>
        <v>11.678125</v>
      </c>
      <c r="S161" s="3">
        <f>1.5*Sheet1!S161</f>
        <v>13.660499999999999</v>
      </c>
      <c r="T161" s="3">
        <f>1.5*Sheet1!T161</f>
        <v>12.838999999999995</v>
      </c>
      <c r="U161" s="3">
        <f>0.75*Sheet1!U161</f>
        <v>3.8103749999999996</v>
      </c>
      <c r="V161" s="3">
        <f>0.75*Sheet1!V161</f>
        <v>6.6037499999999998</v>
      </c>
      <c r="W161" s="3">
        <f>0.75*Sheet1!W161</f>
        <v>3.6056249999999928</v>
      </c>
      <c r="Y161" s="3">
        <f>1.25*Sheet1!Y161</f>
        <v>9.573749999999988</v>
      </c>
      <c r="Z161" s="3">
        <f>0.5*Sheet1!Z161</f>
        <v>2.16675</v>
      </c>
      <c r="AA161" s="3">
        <f>0.5*Sheet1!AA161</f>
        <v>2.3140000000000001</v>
      </c>
      <c r="AB161" s="3">
        <f>0.5*Sheet1!AB161</f>
        <v>3.0158749999999999</v>
      </c>
      <c r="AD161" s="3">
        <f t="shared" si="2"/>
        <v>142.42312499999991</v>
      </c>
    </row>
    <row r="162" spans="1:30" s="3" customFormat="1" ht="16" x14ac:dyDescent="0.2">
      <c r="A162" s="2">
        <v>207</v>
      </c>
      <c r="B162" s="2" t="s">
        <v>249</v>
      </c>
      <c r="C162" s="2" t="s">
        <v>247</v>
      </c>
      <c r="D162" s="2" t="s">
        <v>26</v>
      </c>
      <c r="F162" s="3">
        <f>0.75*Sheet1!F162</f>
        <v>4.5329999999999995</v>
      </c>
      <c r="G162" s="3">
        <f>1.25*Sheet1!G162</f>
        <v>6.1675000000000004</v>
      </c>
      <c r="H162" s="3">
        <f>1.25*Sheet1!H162</f>
        <v>6.1937499999999881</v>
      </c>
      <c r="J162" s="3">
        <f>1.25*Sheet1!J162</f>
        <v>6.1937499999999881</v>
      </c>
      <c r="K162" s="3">
        <f>1.25*Sheet1!K162</f>
        <v>5.5381250000000009</v>
      </c>
      <c r="L162" s="3">
        <f>1.25*Sheet1!L162</f>
        <v>3.5374999999999872</v>
      </c>
      <c r="M162" s="3">
        <f>1.5*Sheet1!M162</f>
        <v>7.5794999999999995</v>
      </c>
      <c r="N162" s="3">
        <f>1.25*Sheet1!N162</f>
        <v>11.045833333333325</v>
      </c>
      <c r="O162" s="3">
        <f>1.5*Sheet1!O162</f>
        <v>12.42075</v>
      </c>
      <c r="Q162" s="3">
        <f>1*Sheet1!Q162</f>
        <v>8.8366666666666607</v>
      </c>
      <c r="R162" s="3">
        <f>1.25*Sheet1!R162</f>
        <v>10.350625000000001</v>
      </c>
      <c r="S162" s="3">
        <f>1.5*Sheet1!S162</f>
        <v>12.402000000000001</v>
      </c>
      <c r="T162" s="3">
        <f>1.5*Sheet1!T162</f>
        <v>12.493500000000001</v>
      </c>
      <c r="U162" s="3">
        <f>0.75*Sheet1!U162</f>
        <v>3.2298749999999998</v>
      </c>
      <c r="V162" s="3">
        <f>0.75*Sheet1!V162</f>
        <v>5.3150624999999998</v>
      </c>
      <c r="W162" s="3">
        <f>0.75*Sheet1!W162</f>
        <v>6.1353749999999998</v>
      </c>
      <c r="Y162" s="3">
        <f>1.25*Sheet1!Y162</f>
        <v>7.3156249999999998</v>
      </c>
      <c r="Z162" s="3">
        <f>0.5*Sheet1!Z162</f>
        <v>2.7137499999999952</v>
      </c>
      <c r="AA162" s="3">
        <f>0.5*Sheet1!AA162</f>
        <v>2.140499999999995</v>
      </c>
      <c r="AB162" s="3">
        <f>0.5*Sheet1!AB162</f>
        <v>2.9834999999999998</v>
      </c>
      <c r="AD162" s="3">
        <f t="shared" si="2"/>
        <v>137.12618749999996</v>
      </c>
    </row>
    <row r="163" spans="1:30" s="3" customFormat="1" ht="16" x14ac:dyDescent="0.2">
      <c r="A163" s="2">
        <v>242</v>
      </c>
      <c r="B163" s="2" t="s">
        <v>250</v>
      </c>
      <c r="C163" s="2" t="s">
        <v>247</v>
      </c>
      <c r="D163" s="2" t="s">
        <v>26</v>
      </c>
      <c r="F163" s="3">
        <f>0.75*Sheet1!F163</f>
        <v>4.5397499999999997</v>
      </c>
      <c r="G163" s="3">
        <f>1.25*Sheet1!G163</f>
        <v>5.8162499999999993</v>
      </c>
      <c r="H163" s="3">
        <f>1.25*Sheet1!H163</f>
        <v>6.1937499999999881</v>
      </c>
      <c r="J163" s="3">
        <f>1.25*Sheet1!J163</f>
        <v>6.1937499999999881</v>
      </c>
      <c r="K163" s="3">
        <f>1.25*Sheet1!K163</f>
        <v>4.83</v>
      </c>
      <c r="L163" s="3">
        <f>1.25*Sheet1!L163</f>
        <v>1.38375</v>
      </c>
      <c r="M163" s="3">
        <f>1.5*Sheet1!M163</f>
        <v>7.5794999999999995</v>
      </c>
      <c r="N163" s="3">
        <f>1.25*Sheet1!N163</f>
        <v>11.045833333333325</v>
      </c>
      <c r="O163" s="3">
        <f>1.5*Sheet1!O163</f>
        <v>12.829499999999985</v>
      </c>
      <c r="Q163" s="3">
        <f>1*Sheet1!Q163</f>
        <v>8.8366666666666607</v>
      </c>
      <c r="R163" s="3">
        <f>1.25*Sheet1!R163</f>
        <v>10.691249999999988</v>
      </c>
      <c r="S163" s="3">
        <f>1.5*Sheet1!S163</f>
        <v>13.183499999999999</v>
      </c>
      <c r="T163" s="3">
        <f>1.5*Sheet1!T163</f>
        <v>12.320999999999984</v>
      </c>
      <c r="U163" s="3">
        <f>0.75*Sheet1!U163</f>
        <v>3.2298749999999998</v>
      </c>
      <c r="V163" s="3">
        <f>0.75*Sheet1!V163</f>
        <v>6.2128125000000001</v>
      </c>
      <c r="W163" s="3">
        <f>0.75*Sheet1!W163</f>
        <v>6.000375</v>
      </c>
      <c r="Y163" s="3">
        <f>1.25*Sheet1!Y163</f>
        <v>8.1418749999999989</v>
      </c>
      <c r="Z163" s="3">
        <f>0.5*Sheet1!Z163</f>
        <v>2.50725</v>
      </c>
      <c r="AA163" s="3">
        <f>0.5*Sheet1!AA163</f>
        <v>2.4620000000000002</v>
      </c>
      <c r="AB163" s="3">
        <f>0.5*Sheet1!AB163</f>
        <v>2.5305</v>
      </c>
      <c r="AD163" s="3">
        <f t="shared" si="2"/>
        <v>136.52918749999989</v>
      </c>
    </row>
    <row r="164" spans="1:30" s="3" customFormat="1" ht="16" x14ac:dyDescent="0.2">
      <c r="A164" s="2">
        <v>251</v>
      </c>
      <c r="B164" s="2" t="s">
        <v>251</v>
      </c>
      <c r="C164" s="2" t="s">
        <v>247</v>
      </c>
      <c r="D164" s="2" t="s">
        <v>26</v>
      </c>
      <c r="F164" s="3">
        <f>0.75*Sheet1!F164</f>
        <v>4.0998749999999999</v>
      </c>
      <c r="G164" s="3">
        <f>1.25*Sheet1!G164</f>
        <v>5.7549999999999999</v>
      </c>
      <c r="H164" s="3">
        <f>1.25*Sheet1!H164</f>
        <v>6.1937499999999881</v>
      </c>
      <c r="J164" s="3">
        <f>1.25*Sheet1!J164</f>
        <v>6.1937499999999881</v>
      </c>
      <c r="K164" s="3">
        <f>1.25*Sheet1!K164</f>
        <v>4.8937499999999998</v>
      </c>
      <c r="L164" s="3">
        <f>1.25*Sheet1!L164</f>
        <v>2.4112499999999999</v>
      </c>
      <c r="M164" s="3">
        <f>1.5*Sheet1!M164</f>
        <v>7.5794999999999995</v>
      </c>
      <c r="N164" s="3">
        <f>1.25*Sheet1!N164</f>
        <v>11.045833333333325</v>
      </c>
      <c r="O164" s="3">
        <f>1.5*Sheet1!O164</f>
        <v>12.84825</v>
      </c>
      <c r="Q164" s="3">
        <f>1*Sheet1!Q164</f>
        <v>8.8366666666666607</v>
      </c>
      <c r="R164" s="3">
        <f>1.25*Sheet1!R164</f>
        <v>10.706875</v>
      </c>
      <c r="S164" s="3">
        <f>1.5*Sheet1!S164</f>
        <v>12.9465</v>
      </c>
      <c r="T164" s="3">
        <f>1.5*Sheet1!T164</f>
        <v>12.591000000000001</v>
      </c>
      <c r="U164" s="3">
        <f>0.75*Sheet1!U164</f>
        <v>4.1936249999999999</v>
      </c>
      <c r="V164" s="3">
        <f>0.75*Sheet1!V164</f>
        <v>6.0716249999999992</v>
      </c>
      <c r="W164" s="3">
        <f>0.75*Sheet1!W164</f>
        <v>6.0543750000000003</v>
      </c>
      <c r="Y164" s="3">
        <f>1.25*Sheet1!Y164</f>
        <v>8.3450000000000006</v>
      </c>
      <c r="Z164" s="3">
        <f>0.5*Sheet1!Z164</f>
        <v>2.6865000000000001</v>
      </c>
      <c r="AA164" s="3">
        <f>0.5*Sheet1!AA164</f>
        <v>2.3482500000000002</v>
      </c>
      <c r="AB164" s="3">
        <f>0.5*Sheet1!AB164</f>
        <v>2.9951249999999998</v>
      </c>
      <c r="AD164" s="3">
        <f t="shared" si="2"/>
        <v>138.79649999999995</v>
      </c>
    </row>
    <row r="165" spans="1:30" s="3" customFormat="1" ht="16" x14ac:dyDescent="0.2">
      <c r="A165" s="2">
        <v>129</v>
      </c>
      <c r="B165" s="2" t="s">
        <v>252</v>
      </c>
      <c r="C165" s="2" t="s">
        <v>253</v>
      </c>
      <c r="D165" s="2" t="s">
        <v>6</v>
      </c>
      <c r="F165" s="3">
        <f>0.75*Sheet1!F165</f>
        <v>5.250749999999992</v>
      </c>
      <c r="G165" s="3">
        <f>1.25*Sheet1!G165</f>
        <v>7.1987499999999871</v>
      </c>
      <c r="H165" s="3">
        <f>1.25*Sheet1!H165</f>
        <v>5.9649999999999999</v>
      </c>
      <c r="J165" s="3">
        <f>1.25*Sheet1!J165</f>
        <v>5.9649999999999999</v>
      </c>
      <c r="K165" s="3">
        <f>1.25*Sheet1!K165</f>
        <v>9.3937499999999989</v>
      </c>
      <c r="L165" s="3">
        <f>1.25*Sheet1!L165</f>
        <v>2.5274999999999999</v>
      </c>
      <c r="M165" s="3">
        <f>1.5*Sheet1!M165</f>
        <v>9.7717500000000008</v>
      </c>
      <c r="N165" s="3">
        <f>1.25*Sheet1!N165</f>
        <v>10.838749999999999</v>
      </c>
      <c r="O165" s="3">
        <f>1.5*Sheet1!O165</f>
        <v>10.912500000000001</v>
      </c>
      <c r="Q165" s="3">
        <f>1*Sheet1!Q165</f>
        <v>8.6709999999999994</v>
      </c>
      <c r="R165" s="3">
        <f>1.25*Sheet1!R165</f>
        <v>9.09375</v>
      </c>
      <c r="S165" s="3">
        <f>1.5*Sheet1!S165</f>
        <v>3.5774999999999997</v>
      </c>
      <c r="T165" s="3">
        <f>1.5*Sheet1!T165</f>
        <v>8.4529999999999959</v>
      </c>
      <c r="U165" s="3">
        <f>0.75*Sheet1!U165</f>
        <v>2.718375</v>
      </c>
      <c r="V165" s="3">
        <f>0.75*Sheet1!V165</f>
        <v>4.1673749999999998</v>
      </c>
      <c r="W165" s="3">
        <f>0.75*Sheet1!W165</f>
        <v>2.6463749999999999</v>
      </c>
      <c r="Y165" s="3">
        <f>1.25*Sheet1!Y165</f>
        <v>6.6293749999999996</v>
      </c>
      <c r="Z165" s="3">
        <f>0.5*Sheet1!Z165</f>
        <v>3.18425</v>
      </c>
      <c r="AA165" s="3">
        <f>0.5*Sheet1!AA165</f>
        <v>2.6924999999999999</v>
      </c>
      <c r="AB165" s="3">
        <f>0.5*Sheet1!AB165</f>
        <v>2.4037499999999952</v>
      </c>
      <c r="AD165" s="3">
        <f t="shared" si="2"/>
        <v>122.06099999999998</v>
      </c>
    </row>
    <row r="166" spans="1:30" s="3" customFormat="1" ht="16" x14ac:dyDescent="0.2">
      <c r="A166" s="2">
        <v>2</v>
      </c>
      <c r="B166" s="2" t="s">
        <v>254</v>
      </c>
      <c r="C166" s="2" t="s">
        <v>255</v>
      </c>
      <c r="D166" s="2" t="s">
        <v>6</v>
      </c>
      <c r="F166" s="3">
        <f>0.75*Sheet1!F166</f>
        <v>5.4464999999999995</v>
      </c>
      <c r="G166" s="3">
        <f>1.25*Sheet1!G166</f>
        <v>7.5737500000000004</v>
      </c>
      <c r="H166" s="3">
        <f>1.25*Sheet1!H166</f>
        <v>5.4325000000000001</v>
      </c>
      <c r="J166" s="3">
        <f>1.25*Sheet1!J166</f>
        <v>5.4325000000000001</v>
      </c>
      <c r="K166" s="3">
        <f>1.25*Sheet1!K166</f>
        <v>4.7149999999999999</v>
      </c>
      <c r="L166" s="3">
        <f>1.25*Sheet1!L166</f>
        <v>1.8662499999999873</v>
      </c>
      <c r="M166" s="3">
        <f>1.5*Sheet1!M166</f>
        <v>9.7717500000000008</v>
      </c>
      <c r="N166" s="3">
        <f>1.25*Sheet1!N166</f>
        <v>10.838749999999999</v>
      </c>
      <c r="O166" s="3">
        <f>1.5*Sheet1!O166</f>
        <v>10.542749999999986</v>
      </c>
      <c r="Q166" s="3">
        <f>1*Sheet1!Q166</f>
        <v>8.6709999999999994</v>
      </c>
      <c r="R166" s="3">
        <f>1.25*Sheet1!R166</f>
        <v>8.7856249999999889</v>
      </c>
      <c r="S166" s="3">
        <f>1.5*Sheet1!S166</f>
        <v>2.01525</v>
      </c>
      <c r="T166" s="3">
        <f>1.5*Sheet1!T166</f>
        <v>9.6449999999999854</v>
      </c>
      <c r="U166" s="3">
        <f>0.75*Sheet1!U166</f>
        <v>3.1139999999999928</v>
      </c>
      <c r="V166" s="3">
        <f>0.75*Sheet1!V166</f>
        <v>5.4896250000000002</v>
      </c>
      <c r="W166" s="3">
        <f>0.75*Sheet1!W166</f>
        <v>1.0916250000000001</v>
      </c>
      <c r="Y166" s="3">
        <f>1.25*Sheet1!Y166</f>
        <v>6.7450000000000001</v>
      </c>
      <c r="Z166" s="3">
        <f>0.5*Sheet1!Z166</f>
        <v>2.4449999999999998</v>
      </c>
      <c r="AA166" s="3">
        <f>0.5*Sheet1!AA166</f>
        <v>1.7577499999999999</v>
      </c>
      <c r="AB166" s="3">
        <f>0.5*Sheet1!AB166</f>
        <v>2.5278749999999999</v>
      </c>
      <c r="AD166" s="3">
        <f t="shared" si="2"/>
        <v>113.90749999999991</v>
      </c>
    </row>
    <row r="167" spans="1:30" s="3" customFormat="1" ht="16" x14ac:dyDescent="0.2">
      <c r="A167" s="2">
        <v>47</v>
      </c>
      <c r="B167" s="2" t="s">
        <v>256</v>
      </c>
      <c r="C167" s="2" t="s">
        <v>257</v>
      </c>
      <c r="D167" s="2" t="s">
        <v>6</v>
      </c>
      <c r="F167" s="3">
        <f>0.75*Sheet1!F167</f>
        <v>5.3073750000000004</v>
      </c>
      <c r="G167" s="3">
        <f>1.25*Sheet1!G167</f>
        <v>6.5350000000000001</v>
      </c>
      <c r="H167" s="3">
        <f>1.25*Sheet1!H167</f>
        <v>4.9006249999999998</v>
      </c>
      <c r="J167" s="3">
        <f>1.25*Sheet1!J167</f>
        <v>4.9006249999999998</v>
      </c>
      <c r="K167" s="3">
        <f>1.25*Sheet1!K167</f>
        <v>4.9337499999999999</v>
      </c>
      <c r="L167" s="3">
        <f>1.25*Sheet1!L167</f>
        <v>3.3937499999999998</v>
      </c>
      <c r="M167" s="3">
        <f>1.5*Sheet1!M167</f>
        <v>9.7717500000000008</v>
      </c>
      <c r="N167" s="3">
        <f>1.25*Sheet1!N167</f>
        <v>10.838749999999999</v>
      </c>
      <c r="O167" s="3">
        <f>1.5*Sheet1!O167</f>
        <v>11.106</v>
      </c>
      <c r="Q167" s="3">
        <f>1*Sheet1!Q167</f>
        <v>8.6709999999999994</v>
      </c>
      <c r="R167" s="3">
        <f>1.25*Sheet1!R167</f>
        <v>9.254999999999999</v>
      </c>
      <c r="S167" s="3">
        <f>1.5*Sheet1!S167</f>
        <v>10.782749999999984</v>
      </c>
      <c r="T167" s="3">
        <f>1.5*Sheet1!T167</f>
        <v>9.6859999999999946</v>
      </c>
      <c r="U167" s="3">
        <f>0.75*Sheet1!U167</f>
        <v>3.1589999999999998</v>
      </c>
      <c r="V167" s="3">
        <f>0.75*Sheet1!V167</f>
        <v>6.2469374999999925</v>
      </c>
      <c r="W167" s="3">
        <f>0.75*Sheet1!W167</f>
        <v>1.1332499999999999</v>
      </c>
      <c r="Y167" s="3">
        <f>1.25*Sheet1!Y167</f>
        <v>8.4474999999999874</v>
      </c>
      <c r="Z167" s="3">
        <f>0.5*Sheet1!Z167</f>
        <v>2.16</v>
      </c>
      <c r="AA167" s="3">
        <f>0.5*Sheet1!AA167</f>
        <v>2.3232499999999998</v>
      </c>
      <c r="AB167" s="3">
        <f>0.5*Sheet1!AB167</f>
        <v>1.077</v>
      </c>
      <c r="AD167" s="3">
        <f t="shared" si="2"/>
        <v>124.62931249999994</v>
      </c>
    </row>
    <row r="168" spans="1:30" s="3" customFormat="1" ht="16" x14ac:dyDescent="0.2">
      <c r="A168" s="2">
        <v>171</v>
      </c>
      <c r="B168" s="2" t="s">
        <v>258</v>
      </c>
      <c r="C168" s="2" t="s">
        <v>257</v>
      </c>
      <c r="D168" s="2" t="s">
        <v>6</v>
      </c>
      <c r="F168" s="3">
        <f>0.75*Sheet1!F168</f>
        <v>0.75</v>
      </c>
      <c r="G168" s="3">
        <f>1.25*Sheet1!G168</f>
        <v>2.9275000000000002</v>
      </c>
      <c r="H168" s="3">
        <f>1.25*Sheet1!H168</f>
        <v>4.9006249999999998</v>
      </c>
      <c r="J168" s="3">
        <f>1.25*Sheet1!J168</f>
        <v>4.9006249999999998</v>
      </c>
      <c r="K168" s="3">
        <f>1.25*Sheet1!K168</f>
        <v>12.5</v>
      </c>
      <c r="L168" s="3">
        <f>1.25*Sheet1!L168</f>
        <v>12.5</v>
      </c>
      <c r="M168" s="3">
        <f>1.5*Sheet1!M168</f>
        <v>9.7717500000000008</v>
      </c>
      <c r="N168" s="3">
        <f>1.25*Sheet1!N168</f>
        <v>10.838749999999999</v>
      </c>
      <c r="O168" s="3">
        <f>1.5*Sheet1!O168</f>
        <v>10.068750000000001</v>
      </c>
      <c r="Q168" s="3">
        <f>1*Sheet1!Q168</f>
        <v>8.6709999999999994</v>
      </c>
      <c r="R168" s="3">
        <f>1.25*Sheet1!R168</f>
        <v>8.390625</v>
      </c>
      <c r="S168" s="3">
        <f>1.5*Sheet1!S168</f>
        <v>10.533000000000001</v>
      </c>
      <c r="T168" s="3">
        <f>1.5*Sheet1!T168</f>
        <v>9.1579999999999941</v>
      </c>
      <c r="U168" s="3">
        <f>0.75*Sheet1!U168</f>
        <v>6.0701250000000009</v>
      </c>
      <c r="V168" s="3">
        <f>0.75*Sheet1!V168</f>
        <v>3.9253124999999924</v>
      </c>
      <c r="W168" s="3">
        <f>0.75*Sheet1!W168</f>
        <v>5.0062499999999996</v>
      </c>
      <c r="Y168" s="3">
        <f>1.25*Sheet1!Y168</f>
        <v>8.8731249999999999</v>
      </c>
      <c r="Z168" s="3">
        <f>0.5*Sheet1!Z168</f>
        <v>5</v>
      </c>
      <c r="AA168" s="3">
        <f>0.5*Sheet1!AA168</f>
        <v>2.8737499999999998</v>
      </c>
      <c r="AB168" s="3">
        <f>0.5*Sheet1!AB168</f>
        <v>2.7596249999999949</v>
      </c>
      <c r="AD168" s="3">
        <f t="shared" si="2"/>
        <v>140.4188125</v>
      </c>
    </row>
    <row r="169" spans="1:30" s="3" customFormat="1" ht="16" x14ac:dyDescent="0.2">
      <c r="A169" s="2">
        <v>205</v>
      </c>
      <c r="B169" s="2" t="s">
        <v>259</v>
      </c>
      <c r="C169" s="2" t="s">
        <v>257</v>
      </c>
      <c r="D169" s="2" t="s">
        <v>6</v>
      </c>
      <c r="F169" s="3">
        <f>0.75*Sheet1!F169</f>
        <v>5.0452500000000002</v>
      </c>
      <c r="G169" s="3">
        <f>1.25*Sheet1!G169</f>
        <v>6.859999999999987</v>
      </c>
      <c r="H169" s="3">
        <f>1.25*Sheet1!H169</f>
        <v>4.9006249999999998</v>
      </c>
      <c r="J169" s="3">
        <f>1.25*Sheet1!J169</f>
        <v>4.9006249999999998</v>
      </c>
      <c r="K169" s="3">
        <f>1.25*Sheet1!K169</f>
        <v>5.4193749999999996</v>
      </c>
      <c r="L169" s="3">
        <f>1.25*Sheet1!L169</f>
        <v>1.8812499999999999</v>
      </c>
      <c r="M169" s="3">
        <f>1.5*Sheet1!M169</f>
        <v>9.7717500000000008</v>
      </c>
      <c r="N169" s="3">
        <f>1.25*Sheet1!N169</f>
        <v>10.838749999999999</v>
      </c>
      <c r="O169" s="3">
        <f>1.5*Sheet1!O169</f>
        <v>8.8522499999999837</v>
      </c>
      <c r="Q169" s="3">
        <f>1*Sheet1!Q169</f>
        <v>8.6709999999999994</v>
      </c>
      <c r="R169" s="3">
        <f>1.25*Sheet1!R169</f>
        <v>7.3768749999999876</v>
      </c>
      <c r="S169" s="3">
        <f>1.5*Sheet1!S169</f>
        <v>8.8484999999999996</v>
      </c>
      <c r="T169" s="3">
        <f>1.5*Sheet1!T169</f>
        <v>9.1589999999999989</v>
      </c>
      <c r="U169" s="3">
        <f>0.75*Sheet1!U169</f>
        <v>3.3712499999999928</v>
      </c>
      <c r="V169" s="3">
        <f>0.75*Sheet1!V169</f>
        <v>4.4514374999999999</v>
      </c>
      <c r="W169" s="3">
        <f>0.75*Sheet1!W169</f>
        <v>1.0485</v>
      </c>
      <c r="Y169" s="3">
        <f>1.25*Sheet1!Y169</f>
        <v>6.9387500000000006</v>
      </c>
      <c r="Z169" s="3">
        <f>0.5*Sheet1!Z169</f>
        <v>2.6675</v>
      </c>
      <c r="AA169" s="3">
        <f>0.5*Sheet1!AA169</f>
        <v>2.202</v>
      </c>
      <c r="AB169" s="3">
        <f>0.5*Sheet1!AB169</f>
        <v>0.95387500000000003</v>
      </c>
      <c r="AD169" s="3">
        <f t="shared" si="2"/>
        <v>114.15856249999993</v>
      </c>
    </row>
    <row r="170" spans="1:30" s="3" customFormat="1" ht="16" x14ac:dyDescent="0.2">
      <c r="A170" s="2">
        <v>12</v>
      </c>
      <c r="B170" s="2" t="s">
        <v>260</v>
      </c>
      <c r="C170" s="2" t="s">
        <v>261</v>
      </c>
      <c r="D170" s="2" t="s">
        <v>19</v>
      </c>
      <c r="F170" s="3">
        <f>0.75*Sheet1!F170</f>
        <v>3.54</v>
      </c>
      <c r="G170" s="3">
        <f>1.25*Sheet1!G170</f>
        <v>5.5874999999999995</v>
      </c>
      <c r="H170" s="3">
        <f>1.25*Sheet1!H170</f>
        <v>7.4143749999999997</v>
      </c>
      <c r="J170" s="3">
        <f>1.25*Sheet1!J170</f>
        <v>7.4143749999999997</v>
      </c>
      <c r="K170" s="3">
        <f>1.25*Sheet1!K170</f>
        <v>5.7350000000000003</v>
      </c>
      <c r="L170" s="3">
        <f>1.25*Sheet1!L170</f>
        <v>3.4874999999999998</v>
      </c>
      <c r="M170" s="3">
        <f>1.5*Sheet1!M170</f>
        <v>8.2582500000000003</v>
      </c>
      <c r="N170" s="3">
        <f>1.25*Sheet1!N170</f>
        <v>12.5</v>
      </c>
      <c r="O170" s="3">
        <f>1.5*Sheet1!O170</f>
        <v>11.103</v>
      </c>
      <c r="Q170" s="3">
        <f>1*Sheet1!Q170</f>
        <v>10</v>
      </c>
      <c r="R170" s="3">
        <f>1.25*Sheet1!R170</f>
        <v>9.2524999999999995</v>
      </c>
      <c r="S170" s="3">
        <f>1.5*Sheet1!S170</f>
        <v>10.532249999999999</v>
      </c>
      <c r="T170" s="3">
        <f>1.5*Sheet1!T170</f>
        <v>12.243999999999989</v>
      </c>
      <c r="U170" s="3">
        <f>0.75*Sheet1!U170</f>
        <v>3.784875</v>
      </c>
      <c r="V170" s="3">
        <f>0.75*Sheet1!V170</f>
        <v>6.2043750000000006</v>
      </c>
      <c r="W170" s="3">
        <f>0.75*Sheet1!W170</f>
        <v>0.97837499999999999</v>
      </c>
      <c r="Y170" s="3">
        <f>1.25*Sheet1!Y170</f>
        <v>8.5625</v>
      </c>
      <c r="Z170" s="3">
        <f>0.5*Sheet1!Z170</f>
        <v>2.1979999999999951</v>
      </c>
      <c r="AA170" s="3">
        <f>0.5*Sheet1!AA170</f>
        <v>2.931</v>
      </c>
      <c r="AB170" s="3">
        <f>0.5*Sheet1!AB170</f>
        <v>2.4224999999999999</v>
      </c>
      <c r="AD170" s="3">
        <f t="shared" si="2"/>
        <v>134.150375</v>
      </c>
    </row>
    <row r="171" spans="1:30" s="3" customFormat="1" ht="16" x14ac:dyDescent="0.2">
      <c r="A171" s="2">
        <v>62</v>
      </c>
      <c r="B171" s="2" t="s">
        <v>262</v>
      </c>
      <c r="C171" s="2" t="s">
        <v>261</v>
      </c>
      <c r="D171" s="2" t="s">
        <v>19</v>
      </c>
      <c r="F171" s="3">
        <f>0.75*Sheet1!F171</f>
        <v>5.2004999999999999</v>
      </c>
      <c r="G171" s="3">
        <f>1.25*Sheet1!G171</f>
        <v>6.37</v>
      </c>
      <c r="H171" s="3">
        <f>1.25*Sheet1!H171</f>
        <v>7.4143749999999997</v>
      </c>
      <c r="J171" s="3">
        <f>1.25*Sheet1!J171</f>
        <v>7.4143749999999997</v>
      </c>
      <c r="K171" s="3">
        <f>1.25*Sheet1!K171</f>
        <v>1.9193750000000001</v>
      </c>
      <c r="L171" s="3">
        <f>1.25*Sheet1!L171</f>
        <v>0</v>
      </c>
      <c r="M171" s="3">
        <f>1.5*Sheet1!M171</f>
        <v>8.2582500000000003</v>
      </c>
      <c r="N171" s="3">
        <f>1.25*Sheet1!N171</f>
        <v>12.5</v>
      </c>
      <c r="O171" s="3">
        <f>1.5*Sheet1!O171</f>
        <v>12.605249999999998</v>
      </c>
      <c r="Q171" s="3">
        <f>1*Sheet1!Q171</f>
        <v>10</v>
      </c>
      <c r="R171" s="3">
        <f>1.25*Sheet1!R171</f>
        <v>10.504375</v>
      </c>
      <c r="S171" s="3">
        <f>1.5*Sheet1!S171</f>
        <v>11.377499999999985</v>
      </c>
      <c r="T171" s="3">
        <f>1.5*Sheet1!T171</f>
        <v>12.468499999999995</v>
      </c>
      <c r="U171" s="3">
        <f>0.75*Sheet1!U171</f>
        <v>3.5670000000000002</v>
      </c>
      <c r="V171" s="3">
        <f>0.75*Sheet1!V171</f>
        <v>6.9423749999999931</v>
      </c>
      <c r="W171" s="3">
        <f>0.75*Sheet1!W171</f>
        <v>0.62512499999999926</v>
      </c>
      <c r="Y171" s="3">
        <f>1.25*Sheet1!Y171</f>
        <v>7.4024999999999999</v>
      </c>
      <c r="Z171" s="3">
        <f>0.5*Sheet1!Z171</f>
        <v>1.61175</v>
      </c>
      <c r="AA171" s="3">
        <f>0.5*Sheet1!AA171</f>
        <v>3.1345000000000001</v>
      </c>
      <c r="AB171" s="3">
        <f>0.5*Sheet1!AB171</f>
        <v>2.7588750000000002</v>
      </c>
      <c r="AD171" s="3">
        <f t="shared" si="2"/>
        <v>132.07462499999997</v>
      </c>
    </row>
    <row r="172" spans="1:30" s="3" customFormat="1" ht="16" x14ac:dyDescent="0.2">
      <c r="A172" s="2">
        <v>260</v>
      </c>
      <c r="B172" s="2" t="s">
        <v>263</v>
      </c>
      <c r="C172" s="2" t="s">
        <v>261</v>
      </c>
      <c r="D172" s="2" t="s">
        <v>19</v>
      </c>
      <c r="F172" s="3">
        <f>0.75*Sheet1!F172</f>
        <v>3.8508749999999927</v>
      </c>
      <c r="G172" s="3">
        <f>1.25*Sheet1!G172</f>
        <v>6.4512499999999999</v>
      </c>
      <c r="H172" s="3">
        <f>1.25*Sheet1!H172</f>
        <v>7.4143749999999997</v>
      </c>
      <c r="J172" s="3">
        <f>1.25*Sheet1!J172</f>
        <v>7.4143749999999997</v>
      </c>
      <c r="K172" s="3">
        <f>1.25*Sheet1!K172</f>
        <v>3.0893749999999995</v>
      </c>
      <c r="L172" s="3">
        <f>1.25*Sheet1!L172</f>
        <v>2.1912499999999997</v>
      </c>
      <c r="M172" s="3">
        <f>1.5*Sheet1!M172</f>
        <v>8.2582500000000003</v>
      </c>
      <c r="N172" s="3">
        <f>1.25*Sheet1!N172</f>
        <v>12.5</v>
      </c>
      <c r="O172" s="3">
        <f>1.5*Sheet1!O172</f>
        <v>12.173999999999999</v>
      </c>
      <c r="Q172" s="3">
        <f>1*Sheet1!Q172</f>
        <v>10</v>
      </c>
      <c r="R172" s="3">
        <f>1.25*Sheet1!R172</f>
        <v>10.145</v>
      </c>
      <c r="S172" s="3">
        <f>1.5*Sheet1!S172</f>
        <v>12.334500000000002</v>
      </c>
      <c r="T172" s="3">
        <f>1.5*Sheet1!T172</f>
        <v>12.117499999999994</v>
      </c>
      <c r="U172" s="3">
        <f>0.75*Sheet1!U172</f>
        <v>3.5670000000000002</v>
      </c>
      <c r="V172" s="3">
        <f>0.75*Sheet1!V172</f>
        <v>7.2069374999999996</v>
      </c>
      <c r="W172" s="3">
        <f>0.75*Sheet1!W172</f>
        <v>0.63937500000000003</v>
      </c>
      <c r="Y172" s="3">
        <f>1.25*Sheet1!Y172</f>
        <v>6.4681250000000006</v>
      </c>
      <c r="Z172" s="3">
        <f>0.5*Sheet1!Z172</f>
        <v>2.2995000000000001</v>
      </c>
      <c r="AA172" s="3">
        <f>0.5*Sheet1!AA172</f>
        <v>3.1985000000000001</v>
      </c>
      <c r="AB172" s="3">
        <f>0.5*Sheet1!AB172</f>
        <v>3.0198749999999999</v>
      </c>
      <c r="AD172" s="3">
        <f t="shared" si="2"/>
        <v>134.34006249999999</v>
      </c>
    </row>
    <row r="173" spans="1:30" s="3" customFormat="1" ht="16" x14ac:dyDescent="0.2">
      <c r="A173" s="2">
        <v>148</v>
      </c>
      <c r="B173" s="2" t="s">
        <v>264</v>
      </c>
      <c r="C173" s="2" t="s">
        <v>265</v>
      </c>
      <c r="D173" s="2" t="s">
        <v>6</v>
      </c>
      <c r="F173" s="3">
        <f>0.75*Sheet1!F173</f>
        <v>3.5891250000000001</v>
      </c>
      <c r="G173" s="3">
        <f>1.25*Sheet1!G173</f>
        <v>0</v>
      </c>
      <c r="H173" s="3">
        <f>1.25*Sheet1!H173</f>
        <v>4.0681249999999878</v>
      </c>
      <c r="J173" s="3">
        <f>1.25*Sheet1!J173</f>
        <v>4.0681249999999878</v>
      </c>
      <c r="K173" s="3">
        <f>1.25*Sheet1!K173</f>
        <v>2.3325</v>
      </c>
      <c r="L173" s="3">
        <f>1.25*Sheet1!L173</f>
        <v>0</v>
      </c>
      <c r="M173" s="3">
        <f>1.5*Sheet1!M173</f>
        <v>5.9092500000000001</v>
      </c>
      <c r="N173" s="3">
        <f>1.25*Sheet1!N173</f>
        <v>5.7504166666666627</v>
      </c>
      <c r="O173" s="3">
        <f>1.5*Sheet1!O173</f>
        <v>13.858499999999985</v>
      </c>
      <c r="Q173" s="3">
        <f>1*Sheet1!Q173</f>
        <v>4.6003333333333298</v>
      </c>
      <c r="R173" s="3">
        <f>1.25*Sheet1!R173</f>
        <v>11.548749999999988</v>
      </c>
      <c r="S173" s="3">
        <f>1.5*Sheet1!S173</f>
        <v>11.66175</v>
      </c>
      <c r="T173" s="3">
        <f>1.5*Sheet1!T173</f>
        <v>9.6054999999999904</v>
      </c>
      <c r="U173" s="3">
        <f>0.75*Sheet1!U173</f>
        <v>0</v>
      </c>
      <c r="V173" s="3">
        <f>0.75*Sheet1!V173</f>
        <v>2.5053749999999999</v>
      </c>
      <c r="W173" s="3">
        <f>0.75*Sheet1!W173</f>
        <v>0.45562500000000006</v>
      </c>
      <c r="Y173" s="3">
        <f>1.25*Sheet1!Y173</f>
        <v>1.4712499999999999</v>
      </c>
      <c r="Z173" s="3">
        <f>0.5*Sheet1!Z173</f>
        <v>0.91849999999999998</v>
      </c>
      <c r="AA173" s="3">
        <f>0.5*Sheet1!AA173</f>
        <v>0.71675</v>
      </c>
      <c r="AB173" s="3">
        <f>0.5*Sheet1!AB173</f>
        <v>0</v>
      </c>
      <c r="AD173" s="3">
        <f t="shared" si="2"/>
        <v>83.059874999999934</v>
      </c>
    </row>
    <row r="174" spans="1:30" s="3" customFormat="1" ht="16" x14ac:dyDescent="0.2">
      <c r="A174" s="2">
        <v>126</v>
      </c>
      <c r="B174" s="2" t="s">
        <v>266</v>
      </c>
      <c r="C174" s="2" t="s">
        <v>267</v>
      </c>
      <c r="D174" s="2" t="s">
        <v>103</v>
      </c>
      <c r="F174" s="3">
        <f>0.75*Sheet1!F174</f>
        <v>5.8252500000000005</v>
      </c>
      <c r="G174" s="3">
        <f>1.25*Sheet1!G174</f>
        <v>11.3725</v>
      </c>
      <c r="H174" s="3">
        <f>1.25*Sheet1!H174</f>
        <v>7.7693749999999993</v>
      </c>
      <c r="J174" s="3">
        <f>1.25*Sheet1!J174</f>
        <v>7.7693749999999993</v>
      </c>
      <c r="K174" s="3">
        <f>1.25*Sheet1!K174</f>
        <v>8.041875000000001</v>
      </c>
      <c r="L174" s="3">
        <f>1.25*Sheet1!L174</f>
        <v>3.1374999999999997</v>
      </c>
      <c r="M174" s="3">
        <f>1.5*Sheet1!M174</f>
        <v>7.5914999999999999</v>
      </c>
      <c r="N174" s="3">
        <f>1.25*Sheet1!N174</f>
        <v>4.0695833333333251</v>
      </c>
      <c r="O174" s="3">
        <f>1.5*Sheet1!O174</f>
        <v>2.109</v>
      </c>
      <c r="Q174" s="3">
        <f>1*Sheet1!Q174</f>
        <v>3.2556666666666598</v>
      </c>
      <c r="R174" s="3">
        <f>1.25*Sheet1!R174</f>
        <v>1.7574999999999998</v>
      </c>
      <c r="S174" s="3">
        <f>1.5*Sheet1!S174</f>
        <v>8.999249999999984</v>
      </c>
      <c r="T174" s="3">
        <f>1.5*Sheet1!T174</f>
        <v>4.2934999999999945</v>
      </c>
      <c r="U174" s="3">
        <f>0.75*Sheet1!U174</f>
        <v>0</v>
      </c>
      <c r="V174" s="3">
        <f>0.75*Sheet1!V174</f>
        <v>1.4304375</v>
      </c>
      <c r="W174" s="3">
        <f>0.75*Sheet1!W174</f>
        <v>1.3109999999999924</v>
      </c>
      <c r="Y174" s="3">
        <f>1.25*Sheet1!Y174</f>
        <v>2.0425</v>
      </c>
      <c r="Z174" s="3">
        <f>0.5*Sheet1!Z174</f>
        <v>0.67925000000000002</v>
      </c>
      <c r="AA174" s="3">
        <f>0.5*Sheet1!AA174</f>
        <v>1.91225</v>
      </c>
      <c r="AB174" s="3">
        <f>0.5*Sheet1!AB174</f>
        <v>1.782375</v>
      </c>
      <c r="AD174" s="3">
        <f t="shared" si="2"/>
        <v>85.149687499999956</v>
      </c>
    </row>
    <row r="175" spans="1:30" s="3" customFormat="1" ht="16" x14ac:dyDescent="0.2">
      <c r="A175" s="2">
        <v>8</v>
      </c>
      <c r="B175" s="2" t="s">
        <v>268</v>
      </c>
      <c r="C175" s="2" t="s">
        <v>269</v>
      </c>
      <c r="D175" s="2" t="s">
        <v>6</v>
      </c>
      <c r="F175" s="3">
        <f>0.75*Sheet1!F175</f>
        <v>4.3919999999999924</v>
      </c>
      <c r="G175" s="3">
        <f>1.25*Sheet1!G175</f>
        <v>6.6387499999999999</v>
      </c>
      <c r="H175" s="3">
        <f>1.25*Sheet1!H175</f>
        <v>5.0775000000000006</v>
      </c>
      <c r="J175" s="3">
        <f>1.25*Sheet1!J175</f>
        <v>5.0775000000000006</v>
      </c>
      <c r="K175" s="3">
        <f>1.25*Sheet1!K175</f>
        <v>4.4256249999999877</v>
      </c>
      <c r="L175" s="3">
        <f>1.25*Sheet1!L175</f>
        <v>0</v>
      </c>
      <c r="M175" s="3">
        <f>1.5*Sheet1!M175</f>
        <v>9.7717500000000008</v>
      </c>
      <c r="N175" s="3">
        <f>1.25*Sheet1!N175</f>
        <v>10.838749999999999</v>
      </c>
      <c r="O175" s="3">
        <f>1.5*Sheet1!O175</f>
        <v>11.595750000000001</v>
      </c>
      <c r="Q175" s="3">
        <f>1*Sheet1!Q175</f>
        <v>8.6709999999999994</v>
      </c>
      <c r="R175" s="3">
        <f>1.25*Sheet1!R175</f>
        <v>9.6631250000000009</v>
      </c>
      <c r="S175" s="3">
        <f>1.5*Sheet1!S175</f>
        <v>8.7787500000000005</v>
      </c>
      <c r="T175" s="3">
        <f>1.5*Sheet1!T175</f>
        <v>10.087999999999994</v>
      </c>
      <c r="U175" s="3">
        <f>0.75*Sheet1!U175</f>
        <v>2.718375</v>
      </c>
      <c r="V175" s="3">
        <f>0.75*Sheet1!V175</f>
        <v>6.3699374999999998</v>
      </c>
      <c r="W175" s="3">
        <f>0.75*Sheet1!W175</f>
        <v>0.90712499999999996</v>
      </c>
      <c r="Y175" s="3">
        <f>1.25*Sheet1!Y175</f>
        <v>5.984375</v>
      </c>
      <c r="Z175" s="3">
        <f>0.5*Sheet1!Z175</f>
        <v>2.5314999999999999</v>
      </c>
      <c r="AA175" s="3">
        <f>0.5*Sheet1!AA175</f>
        <v>1.1327499999999999</v>
      </c>
      <c r="AB175" s="3">
        <f>0.5*Sheet1!AB175</f>
        <v>0.67900000000000005</v>
      </c>
      <c r="AD175" s="3">
        <f t="shared" si="2"/>
        <v>115.34156249999998</v>
      </c>
    </row>
    <row r="176" spans="1:30" s="3" customFormat="1" ht="16" x14ac:dyDescent="0.2">
      <c r="A176" s="2">
        <v>56</v>
      </c>
      <c r="B176" s="2" t="s">
        <v>270</v>
      </c>
      <c r="C176" s="2" t="s">
        <v>269</v>
      </c>
      <c r="D176" s="2" t="s">
        <v>6</v>
      </c>
      <c r="F176" s="3">
        <f>0.75*Sheet1!F176</f>
        <v>4.1617500000000005</v>
      </c>
      <c r="G176" s="3">
        <f>1.25*Sheet1!G176</f>
        <v>6.2337500000000006</v>
      </c>
      <c r="H176" s="3">
        <f>1.25*Sheet1!H176</f>
        <v>5.0775000000000006</v>
      </c>
      <c r="J176" s="3">
        <f>1.25*Sheet1!J176</f>
        <v>5.0775000000000006</v>
      </c>
      <c r="K176" s="3">
        <f>1.25*Sheet1!K176</f>
        <v>7.8099999999999872</v>
      </c>
      <c r="L176" s="3">
        <f>1.25*Sheet1!L176</f>
        <v>3.5975000000000001</v>
      </c>
      <c r="M176" s="3">
        <f>1.5*Sheet1!M176</f>
        <v>9.7717500000000008</v>
      </c>
      <c r="N176" s="3">
        <f>1.25*Sheet1!N176</f>
        <v>10.838749999999999</v>
      </c>
      <c r="O176" s="3">
        <f>1.5*Sheet1!O176</f>
        <v>10.18425</v>
      </c>
      <c r="Q176" s="3">
        <f>1*Sheet1!Q176</f>
        <v>8.6709999999999994</v>
      </c>
      <c r="R176" s="3">
        <f>1.25*Sheet1!R176</f>
        <v>8.4868750000000013</v>
      </c>
      <c r="S176" s="3">
        <f>1.5*Sheet1!S176</f>
        <v>8.021249999999986</v>
      </c>
      <c r="T176" s="3">
        <f>1.5*Sheet1!T176</f>
        <v>9.648499999999995</v>
      </c>
      <c r="U176" s="3">
        <f>0.75*Sheet1!U176</f>
        <v>2.718375</v>
      </c>
      <c r="V176" s="3">
        <f>0.75*Sheet1!V176</f>
        <v>6.0069374999999932</v>
      </c>
      <c r="W176" s="3">
        <f>0.75*Sheet1!W176</f>
        <v>2.7592499999999998</v>
      </c>
      <c r="Y176" s="3">
        <f>1.25*Sheet1!Y176</f>
        <v>7.9837499999999997</v>
      </c>
      <c r="Z176" s="3">
        <f>0.5*Sheet1!Z176</f>
        <v>2.8029999999999999</v>
      </c>
      <c r="AA176" s="3">
        <f>0.5*Sheet1!AA176</f>
        <v>0.65574999999999495</v>
      </c>
      <c r="AB176" s="3">
        <f>0.5*Sheet1!AB176</f>
        <v>2.0670000000000002</v>
      </c>
      <c r="AD176" s="3">
        <f t="shared" si="2"/>
        <v>122.57443749999993</v>
      </c>
    </row>
    <row r="177" spans="1:30" s="3" customFormat="1" ht="16" x14ac:dyDescent="0.2">
      <c r="A177" s="2">
        <v>199</v>
      </c>
      <c r="B177" s="2" t="s">
        <v>271</v>
      </c>
      <c r="C177" s="2" t="s">
        <v>269</v>
      </c>
      <c r="D177" s="2" t="s">
        <v>6</v>
      </c>
      <c r="F177" s="3">
        <f>0.75*Sheet1!F177</f>
        <v>4.5963750000000001</v>
      </c>
      <c r="G177" s="3">
        <f>1.25*Sheet1!G177</f>
        <v>7.0125000000000002</v>
      </c>
      <c r="H177" s="3">
        <f>1.25*Sheet1!H177</f>
        <v>5.0775000000000006</v>
      </c>
      <c r="J177" s="3">
        <f>1.25*Sheet1!J177</f>
        <v>5.0775000000000006</v>
      </c>
      <c r="K177" s="3">
        <f>1.25*Sheet1!K177</f>
        <v>6.8712499999999999</v>
      </c>
      <c r="L177" s="3">
        <f>1.25*Sheet1!L177</f>
        <v>6.44625</v>
      </c>
      <c r="M177" s="3">
        <f>1.5*Sheet1!M177</f>
        <v>9.7717500000000008</v>
      </c>
      <c r="N177" s="3">
        <f>1.25*Sheet1!N177</f>
        <v>10.838749999999999</v>
      </c>
      <c r="O177" s="3">
        <f>1.5*Sheet1!O177</f>
        <v>11.343</v>
      </c>
      <c r="Q177" s="3">
        <f>1*Sheet1!Q177</f>
        <v>8.6709999999999994</v>
      </c>
      <c r="R177" s="3">
        <f>1.25*Sheet1!R177</f>
        <v>9.4525000000000006</v>
      </c>
      <c r="S177" s="3">
        <f>1.5*Sheet1!S177</f>
        <v>9.7837499999999995</v>
      </c>
      <c r="T177" s="3">
        <f>1.5*Sheet1!T177</f>
        <v>10.015999999999995</v>
      </c>
      <c r="U177" s="3">
        <f>0.75*Sheet1!U177</f>
        <v>5.3373749999999998</v>
      </c>
      <c r="V177" s="3">
        <f>0.75*Sheet1!V177</f>
        <v>6.4378124999999997</v>
      </c>
      <c r="W177" s="3">
        <f>0.75*Sheet1!W177</f>
        <v>1.31775</v>
      </c>
      <c r="Y177" s="3">
        <f>1.25*Sheet1!Y177</f>
        <v>9.9393750000000001</v>
      </c>
      <c r="Z177" s="3">
        <f>0.5*Sheet1!Z177</f>
        <v>3.3064999999999949</v>
      </c>
      <c r="AA177" s="3">
        <f>0.5*Sheet1!AA177</f>
        <v>1.6952499999999999</v>
      </c>
      <c r="AB177" s="3">
        <f>0.5*Sheet1!AB177</f>
        <v>2.3921250000000001</v>
      </c>
      <c r="AD177" s="3">
        <f t="shared" si="2"/>
        <v>135.38431249999996</v>
      </c>
    </row>
    <row r="178" spans="1:30" s="3" customFormat="1" ht="16" x14ac:dyDescent="0.2">
      <c r="A178" s="2">
        <v>25</v>
      </c>
      <c r="B178" s="2" t="s">
        <v>272</v>
      </c>
      <c r="C178" s="2" t="s">
        <v>273</v>
      </c>
      <c r="D178" s="2" t="s">
        <v>26</v>
      </c>
      <c r="F178" s="3">
        <f>0.75*Sheet1!F178</f>
        <v>3.9221249999999923</v>
      </c>
      <c r="G178" s="3">
        <f>1.25*Sheet1!G178</f>
        <v>2.2562500000000001</v>
      </c>
      <c r="H178" s="3">
        <f>1.25*Sheet1!H178</f>
        <v>5.9399999999999995</v>
      </c>
      <c r="J178" s="3">
        <f>1.25*Sheet1!J178</f>
        <v>5.9399999999999995</v>
      </c>
      <c r="K178" s="3">
        <f>1.25*Sheet1!K178</f>
        <v>2.75875</v>
      </c>
      <c r="L178" s="3">
        <f>1.25*Sheet1!L178</f>
        <v>1.25</v>
      </c>
      <c r="M178" s="3">
        <f>1.5*Sheet1!M178</f>
        <v>10.610250000000001</v>
      </c>
      <c r="N178" s="3">
        <f>1.25*Sheet1!N178</f>
        <v>12.044166666666662</v>
      </c>
      <c r="O178" s="3">
        <f>1.5*Sheet1!O178</f>
        <v>11.421749999999999</v>
      </c>
      <c r="Q178" s="3">
        <f>1*Sheet1!Q178</f>
        <v>9.63533333333333</v>
      </c>
      <c r="R178" s="3">
        <f>1.25*Sheet1!R178</f>
        <v>9.5181249999999995</v>
      </c>
      <c r="S178" s="3">
        <f>1.5*Sheet1!S178</f>
        <v>11.561249999999999</v>
      </c>
      <c r="T178" s="3">
        <f>1.5*Sheet1!T178</f>
        <v>11.46999999999999</v>
      </c>
      <c r="U178" s="3">
        <f>0.75*Sheet1!U178</f>
        <v>3.6296249999999999</v>
      </c>
      <c r="V178" s="3">
        <f>0.75*Sheet1!V178</f>
        <v>5.6544375000000002</v>
      </c>
      <c r="W178" s="3">
        <f>0.75*Sheet1!W178</f>
        <v>2.4318750000000002</v>
      </c>
      <c r="Y178" s="3">
        <f>1.25*Sheet1!Y178</f>
        <v>8.1712500000000006</v>
      </c>
      <c r="Z178" s="3">
        <f>0.5*Sheet1!Z178</f>
        <v>2.2437499999999999</v>
      </c>
      <c r="AA178" s="3">
        <f>0.5*Sheet1!AA178</f>
        <v>2.1567499999999948</v>
      </c>
      <c r="AB178" s="3">
        <f>0.5*Sheet1!AB178</f>
        <v>2.9437500000000001</v>
      </c>
      <c r="AD178" s="3">
        <f t="shared" si="2"/>
        <v>125.55943749999997</v>
      </c>
    </row>
    <row r="179" spans="1:30" s="3" customFormat="1" ht="16" x14ac:dyDescent="0.2">
      <c r="A179" s="2">
        <v>178</v>
      </c>
      <c r="B179" s="2" t="s">
        <v>274</v>
      </c>
      <c r="C179" s="2" t="s">
        <v>273</v>
      </c>
      <c r="D179" s="2" t="s">
        <v>26</v>
      </c>
      <c r="F179" s="3">
        <f>0.75*Sheet1!F179</f>
        <v>2.8259999999999996</v>
      </c>
      <c r="G179" s="3">
        <f>1.25*Sheet1!G179</f>
        <v>1.2975000000000001</v>
      </c>
      <c r="H179" s="3">
        <f>1.25*Sheet1!H179</f>
        <v>5.9399999999999995</v>
      </c>
      <c r="J179" s="3">
        <f>1.25*Sheet1!J179</f>
        <v>5.9399999999999995</v>
      </c>
      <c r="K179" s="3">
        <f>1.25*Sheet1!K179</f>
        <v>6.5112499999999995</v>
      </c>
      <c r="L179" s="3">
        <f>1.25*Sheet1!L179</f>
        <v>4.8362500000000006</v>
      </c>
      <c r="M179" s="3">
        <f>1.5*Sheet1!M179</f>
        <v>10.610250000000001</v>
      </c>
      <c r="N179" s="3">
        <f>1.25*Sheet1!N179</f>
        <v>12.044166666666662</v>
      </c>
      <c r="O179" s="3">
        <f>1.5*Sheet1!O179</f>
        <v>10.544999999999984</v>
      </c>
      <c r="Q179" s="3">
        <f>1*Sheet1!Q179</f>
        <v>9.63533333333333</v>
      </c>
      <c r="R179" s="3">
        <f>1.25*Sheet1!R179</f>
        <v>8.7874999999999872</v>
      </c>
      <c r="S179" s="3">
        <f>1.5*Sheet1!S179</f>
        <v>10.659749999999999</v>
      </c>
      <c r="T179" s="3">
        <f>1.5*Sheet1!T179</f>
        <v>11.864999999999986</v>
      </c>
      <c r="U179" s="3">
        <f>0.75*Sheet1!U179</f>
        <v>3.8583749999999997</v>
      </c>
      <c r="V179" s="3">
        <f>0.75*Sheet1!V179</f>
        <v>6.3181875000000005</v>
      </c>
      <c r="W179" s="3">
        <f>0.75*Sheet1!W179</f>
        <v>3.8827499999999997</v>
      </c>
      <c r="Y179" s="3">
        <f>1.25*Sheet1!Y179</f>
        <v>9.9631249999999998</v>
      </c>
      <c r="Z179" s="3">
        <f>0.5*Sheet1!Z179</f>
        <v>2.9495</v>
      </c>
      <c r="AA179" s="3">
        <f>0.5*Sheet1!AA179</f>
        <v>3.0947499999999999</v>
      </c>
      <c r="AB179" s="3">
        <f>0.5*Sheet1!AB179</f>
        <v>2.8876249999999999</v>
      </c>
      <c r="AD179" s="3">
        <f t="shared" si="2"/>
        <v>134.45231249999995</v>
      </c>
    </row>
    <row r="180" spans="1:30" s="3" customFormat="1" ht="16" x14ac:dyDescent="0.2">
      <c r="A180" s="2">
        <v>63</v>
      </c>
      <c r="B180" s="2" t="s">
        <v>275</v>
      </c>
      <c r="C180" s="2" t="s">
        <v>276</v>
      </c>
      <c r="D180" s="2" t="s">
        <v>6</v>
      </c>
      <c r="F180" s="3">
        <f>0.75*Sheet1!F180</f>
        <v>5.0081249999999997</v>
      </c>
      <c r="G180" s="3">
        <f>1.25*Sheet1!G180</f>
        <v>7.6349999999999998</v>
      </c>
      <c r="H180" s="3">
        <f>1.25*Sheet1!H180</f>
        <v>4.9006249999999998</v>
      </c>
      <c r="J180" s="3">
        <f>1.25*Sheet1!J180</f>
        <v>4.9006249999999998</v>
      </c>
      <c r="K180" s="3">
        <f>1.25*Sheet1!K180</f>
        <v>7.6243749999999997</v>
      </c>
      <c r="L180" s="3">
        <f>1.25*Sheet1!L180</f>
        <v>3.3862499999999871</v>
      </c>
      <c r="M180" s="3">
        <f>1.5*Sheet1!M180</f>
        <v>9.7717500000000008</v>
      </c>
      <c r="N180" s="3">
        <f>1.25*Sheet1!N180</f>
        <v>10.838749999999999</v>
      </c>
      <c r="O180" s="3">
        <f>1.5*Sheet1!O180</f>
        <v>7.948499999999985</v>
      </c>
      <c r="Q180" s="3">
        <f>1*Sheet1!Q180</f>
        <v>8.6709999999999994</v>
      </c>
      <c r="R180" s="3">
        <f>1.25*Sheet1!R180</f>
        <v>6.6237499999999869</v>
      </c>
      <c r="S180" s="3">
        <f>1.5*Sheet1!S180</f>
        <v>7.4624999999999995</v>
      </c>
      <c r="T180" s="3">
        <f>1.5*Sheet1!T180</f>
        <v>9.5189999999999859</v>
      </c>
      <c r="U180" s="3">
        <f>0.75*Sheet1!U180</f>
        <v>3.210375</v>
      </c>
      <c r="V180" s="3">
        <f>0.75*Sheet1!V180</f>
        <v>5.3321249999999996</v>
      </c>
      <c r="W180" s="3">
        <f>0.75*Sheet1!W180</f>
        <v>1.4448749999999926</v>
      </c>
      <c r="Y180" s="3">
        <f>1.25*Sheet1!Y180</f>
        <v>8.1399999999999988</v>
      </c>
      <c r="Z180" s="3">
        <f>0.5*Sheet1!Z180</f>
        <v>3.0590000000000002</v>
      </c>
      <c r="AA180" s="3">
        <f>0.5*Sheet1!AA180</f>
        <v>1.80375</v>
      </c>
      <c r="AB180" s="3">
        <f>0.5*Sheet1!AB180</f>
        <v>2.37175</v>
      </c>
      <c r="AD180" s="3">
        <f t="shared" si="2"/>
        <v>119.65212499999996</v>
      </c>
    </row>
    <row r="181" spans="1:30" s="3" customFormat="1" ht="16" x14ac:dyDescent="0.2">
      <c r="A181" s="2">
        <v>64</v>
      </c>
      <c r="B181" s="2" t="s">
        <v>277</v>
      </c>
      <c r="C181" s="2" t="s">
        <v>276</v>
      </c>
      <c r="D181" s="2" t="s">
        <v>6</v>
      </c>
      <c r="F181" s="3">
        <f>0.75*Sheet1!F181</f>
        <v>5.366999999999992</v>
      </c>
      <c r="G181" s="3">
        <f>1.25*Sheet1!G181</f>
        <v>6.9937499999999995</v>
      </c>
      <c r="H181" s="3">
        <f>1.25*Sheet1!H181</f>
        <v>4.9006249999999998</v>
      </c>
      <c r="J181" s="3">
        <f>1.25*Sheet1!J181</f>
        <v>4.9006249999999998</v>
      </c>
      <c r="K181" s="3">
        <f>1.25*Sheet1!K181</f>
        <v>6.2012499999999999</v>
      </c>
      <c r="L181" s="3">
        <f>1.25*Sheet1!L181</f>
        <v>4.5575000000000001</v>
      </c>
      <c r="M181" s="3">
        <f>1.5*Sheet1!M181</f>
        <v>9.7717500000000008</v>
      </c>
      <c r="N181" s="3">
        <f>1.25*Sheet1!N181</f>
        <v>10.838749999999999</v>
      </c>
      <c r="O181" s="3">
        <f>1.5*Sheet1!O181</f>
        <v>7.1632499999999855</v>
      </c>
      <c r="Q181" s="3">
        <f>1*Sheet1!Q181</f>
        <v>8.6709999999999994</v>
      </c>
      <c r="R181" s="3">
        <f>1.25*Sheet1!R181</f>
        <v>5.9693749999999879</v>
      </c>
      <c r="S181" s="3">
        <f>1.5*Sheet1!S181</f>
        <v>5.4554999999999847</v>
      </c>
      <c r="T181" s="3">
        <f>1.5*Sheet1!T181</f>
        <v>10.133499999999991</v>
      </c>
      <c r="U181" s="3">
        <f>0.75*Sheet1!U181</f>
        <v>3.4638749999999998</v>
      </c>
      <c r="V181" s="3">
        <f>0.75*Sheet1!V181</f>
        <v>5.437875</v>
      </c>
      <c r="W181" s="3">
        <f>0.75*Sheet1!W181</f>
        <v>1.558125</v>
      </c>
      <c r="Y181" s="3">
        <f>1.25*Sheet1!Y181</f>
        <v>6.8456250000000001</v>
      </c>
      <c r="Z181" s="3">
        <f>0.5*Sheet1!Z181</f>
        <v>2.8482500000000002</v>
      </c>
      <c r="AA181" s="3">
        <f>0.5*Sheet1!AA181</f>
        <v>2.3344999999999998</v>
      </c>
      <c r="AB181" s="3">
        <f>0.5*Sheet1!AB181</f>
        <v>2.2106249999999998</v>
      </c>
      <c r="AD181" s="3">
        <f t="shared" si="2"/>
        <v>115.62274999999993</v>
      </c>
    </row>
    <row r="182" spans="1:30" s="3" customFormat="1" ht="16" x14ac:dyDescent="0.2">
      <c r="A182" s="2">
        <v>68</v>
      </c>
      <c r="B182" s="2" t="s">
        <v>278</v>
      </c>
      <c r="C182" s="2" t="s">
        <v>276</v>
      </c>
      <c r="D182" s="2" t="s">
        <v>6</v>
      </c>
      <c r="F182" s="3">
        <f>0.75*Sheet1!F182</f>
        <v>4.7171250000000002</v>
      </c>
      <c r="G182" s="3">
        <f>1.25*Sheet1!G182</f>
        <v>7.182500000000001</v>
      </c>
      <c r="H182" s="3">
        <f>1.25*Sheet1!H182</f>
        <v>4.9006249999999998</v>
      </c>
      <c r="J182" s="3">
        <f>1.25*Sheet1!J182</f>
        <v>4.9006249999999998</v>
      </c>
      <c r="K182" s="3">
        <f>1.25*Sheet1!K182</f>
        <v>7.3481249999999996</v>
      </c>
      <c r="L182" s="3">
        <f>1.25*Sheet1!L182</f>
        <v>6.2162499999999996</v>
      </c>
      <c r="M182" s="3">
        <f>1.5*Sheet1!M182</f>
        <v>9.7717500000000008</v>
      </c>
      <c r="N182" s="3">
        <f>1.25*Sheet1!N182</f>
        <v>10.838749999999999</v>
      </c>
      <c r="O182" s="3">
        <f>1.5*Sheet1!O182</f>
        <v>8.8822499999999991</v>
      </c>
      <c r="Q182" s="3">
        <f>1*Sheet1!Q182</f>
        <v>8.6709999999999994</v>
      </c>
      <c r="R182" s="3">
        <f>1.25*Sheet1!R182</f>
        <v>7.4018750000000004</v>
      </c>
      <c r="S182" s="3">
        <f>1.5*Sheet1!S182</f>
        <v>7.92225</v>
      </c>
      <c r="T182" s="3">
        <f>1.5*Sheet1!T182</f>
        <v>9.609</v>
      </c>
      <c r="U182" s="3">
        <f>0.75*Sheet1!U182</f>
        <v>3.7856249999999925</v>
      </c>
      <c r="V182" s="3">
        <f>0.75*Sheet1!V182</f>
        <v>6.1245000000000003</v>
      </c>
      <c r="W182" s="3">
        <f>0.75*Sheet1!W182</f>
        <v>1.24725</v>
      </c>
      <c r="Y182" s="3">
        <f>1.25*Sheet1!Y182</f>
        <v>5.6918749999999996</v>
      </c>
      <c r="Z182" s="3">
        <f>0.5*Sheet1!Z182</f>
        <v>3.2329999999999952</v>
      </c>
      <c r="AA182" s="3">
        <f>0.5*Sheet1!AA182</f>
        <v>2.2724999999999951</v>
      </c>
      <c r="AB182" s="3">
        <f>0.5*Sheet1!AB182</f>
        <v>2.5133749999999999</v>
      </c>
      <c r="AD182" s="3">
        <f t="shared" si="2"/>
        <v>123.23024999999994</v>
      </c>
    </row>
    <row r="183" spans="1:30" s="3" customFormat="1" ht="16" x14ac:dyDescent="0.2">
      <c r="A183" s="2">
        <v>174</v>
      </c>
      <c r="B183" s="2" t="s">
        <v>279</v>
      </c>
      <c r="C183" s="2" t="s">
        <v>280</v>
      </c>
      <c r="D183" s="2" t="s">
        <v>6</v>
      </c>
      <c r="F183" s="3">
        <f>0.75*Sheet1!F183</f>
        <v>5.4457500000000003</v>
      </c>
      <c r="G183" s="3">
        <f>1.25*Sheet1!G183</f>
        <v>7.9924999999999997</v>
      </c>
      <c r="H183" s="3">
        <f>1.25*Sheet1!H183</f>
        <v>5.2549999999999999</v>
      </c>
      <c r="J183" s="3">
        <f>1.25*Sheet1!J183</f>
        <v>5.2549999999999999</v>
      </c>
      <c r="K183" s="3">
        <f>1.25*Sheet1!K183</f>
        <v>5.171875</v>
      </c>
      <c r="L183" s="3">
        <f>1.25*Sheet1!L183</f>
        <v>0</v>
      </c>
      <c r="M183" s="3">
        <f>1.5*Sheet1!M183</f>
        <v>9.7717500000000008</v>
      </c>
      <c r="N183" s="3">
        <f>1.25*Sheet1!N183</f>
        <v>10.838749999999999</v>
      </c>
      <c r="O183" s="3">
        <f>1.5*Sheet1!O183</f>
        <v>9.0330000000000013</v>
      </c>
      <c r="Q183" s="3">
        <f>1*Sheet1!Q183</f>
        <v>8.6709999999999994</v>
      </c>
      <c r="R183" s="3">
        <f>1.25*Sheet1!R183</f>
        <v>7.5274999999999999</v>
      </c>
      <c r="S183" s="3">
        <f>1.5*Sheet1!S183</f>
        <v>7.0282499999999999</v>
      </c>
      <c r="T183" s="3">
        <f>1.5*Sheet1!T183</f>
        <v>8.964999999999991</v>
      </c>
      <c r="U183" s="3">
        <f>0.75*Sheet1!U183</f>
        <v>2.718375</v>
      </c>
      <c r="V183" s="3">
        <f>0.75*Sheet1!V183</f>
        <v>5.7114374999999997</v>
      </c>
      <c r="W183" s="3">
        <f>0.75*Sheet1!W183</f>
        <v>1.04925</v>
      </c>
      <c r="Y183" s="3">
        <f>1.25*Sheet1!Y183</f>
        <v>9.6112500000000001</v>
      </c>
      <c r="Z183" s="3">
        <f>0.5*Sheet1!Z183</f>
        <v>2.6880000000000002</v>
      </c>
      <c r="AA183" s="3">
        <f>0.5*Sheet1!AA183</f>
        <v>2.0644999999999998</v>
      </c>
      <c r="AB183" s="3">
        <f>0.5*Sheet1!AB183</f>
        <v>2.5136249999999949</v>
      </c>
      <c r="AD183" s="3">
        <f t="shared" si="2"/>
        <v>117.31181249999997</v>
      </c>
    </row>
    <row r="184" spans="1:30" s="3" customFormat="1" ht="16" x14ac:dyDescent="0.2">
      <c r="A184" s="2">
        <v>86</v>
      </c>
      <c r="B184" s="2" t="s">
        <v>281</v>
      </c>
      <c r="C184" s="2" t="s">
        <v>282</v>
      </c>
      <c r="D184" s="2" t="s">
        <v>6</v>
      </c>
      <c r="F184" s="3">
        <f>0.75*Sheet1!F184</f>
        <v>5.0347499999999998</v>
      </c>
      <c r="G184" s="3">
        <f>1.25*Sheet1!G184</f>
        <v>6.2762500000000001</v>
      </c>
      <c r="H184" s="3">
        <f>1.25*Sheet1!H184</f>
        <v>4.9006249999999998</v>
      </c>
      <c r="J184" s="3">
        <f>1.25*Sheet1!J184</f>
        <v>4.9006249999999998</v>
      </c>
      <c r="K184" s="3">
        <f>1.25*Sheet1!K184</f>
        <v>3.8581250000000002</v>
      </c>
      <c r="L184" s="3">
        <f>1.25*Sheet1!L184</f>
        <v>2.4550000000000001</v>
      </c>
      <c r="M184" s="3">
        <f>1.5*Sheet1!M184</f>
        <v>9.7717500000000008</v>
      </c>
      <c r="N184" s="3">
        <f>1.25*Sheet1!N184</f>
        <v>10.838749999999999</v>
      </c>
      <c r="O184" s="3">
        <f>1.5*Sheet1!O184</f>
        <v>13.45425</v>
      </c>
      <c r="Q184" s="3">
        <f>1*Sheet1!Q184</f>
        <v>8.6709999999999994</v>
      </c>
      <c r="R184" s="3">
        <f>1.25*Sheet1!R184</f>
        <v>11.211874999999999</v>
      </c>
      <c r="S184" s="3">
        <f>1.5*Sheet1!S184</f>
        <v>9.2572499999999991</v>
      </c>
      <c r="T184" s="3">
        <f>1.5*Sheet1!T184</f>
        <v>9.8499999999999908</v>
      </c>
      <c r="U184" s="3">
        <f>0.75*Sheet1!U184</f>
        <v>3.1301249999999996</v>
      </c>
      <c r="V184" s="3">
        <f>0.75*Sheet1!V184</f>
        <v>6.1732499999999995</v>
      </c>
      <c r="W184" s="3">
        <f>0.75*Sheet1!W184</f>
        <v>0.89399999999999991</v>
      </c>
      <c r="Y184" s="3">
        <f>1.25*Sheet1!Y184</f>
        <v>5.9450000000000003</v>
      </c>
      <c r="Z184" s="3">
        <f>0.5*Sheet1!Z184</f>
        <v>1.478</v>
      </c>
      <c r="AA184" s="3">
        <f>0.5*Sheet1!AA184</f>
        <v>1.7665</v>
      </c>
      <c r="AB184" s="3">
        <f>0.5*Sheet1!AB184</f>
        <v>2.8134999999999999</v>
      </c>
      <c r="AD184" s="3">
        <f t="shared" si="2"/>
        <v>122.68062499999996</v>
      </c>
    </row>
    <row r="185" spans="1:30" s="3" customFormat="1" ht="16" x14ac:dyDescent="0.2">
      <c r="A185" s="2">
        <v>192</v>
      </c>
      <c r="B185" s="2" t="s">
        <v>216</v>
      </c>
      <c r="C185" s="2" t="s">
        <v>282</v>
      </c>
      <c r="D185" s="2" t="s">
        <v>6</v>
      </c>
      <c r="F185" s="3">
        <f>0.75*Sheet1!F185</f>
        <v>3.1034999999999999</v>
      </c>
      <c r="G185" s="3">
        <f>1.25*Sheet1!G185</f>
        <v>6.1550000000000002</v>
      </c>
      <c r="H185" s="3">
        <f>1.25*Sheet1!H185</f>
        <v>4.9006249999999998</v>
      </c>
      <c r="J185" s="3">
        <f>1.25*Sheet1!J185</f>
        <v>4.9006249999999998</v>
      </c>
      <c r="K185" s="3">
        <f>1.25*Sheet1!K185</f>
        <v>8.6962499999999991</v>
      </c>
      <c r="L185" s="3">
        <f>1.25*Sheet1!L185</f>
        <v>7.3737500000000002</v>
      </c>
      <c r="M185" s="3">
        <f>1.5*Sheet1!M185</f>
        <v>9.7717500000000008</v>
      </c>
      <c r="N185" s="3">
        <f>1.25*Sheet1!N185</f>
        <v>10.838749999999999</v>
      </c>
      <c r="O185" s="3">
        <f>1.5*Sheet1!O185</f>
        <v>12.239249999999998</v>
      </c>
      <c r="Q185" s="3">
        <f>1*Sheet1!Q185</f>
        <v>8.6709999999999994</v>
      </c>
      <c r="R185" s="3">
        <f>1.25*Sheet1!R185</f>
        <v>10.199375</v>
      </c>
      <c r="S185" s="3">
        <f>1.5*Sheet1!S185</f>
        <v>7.7707500000000005</v>
      </c>
      <c r="T185" s="3">
        <f>1.5*Sheet1!T185</f>
        <v>9.476499999999989</v>
      </c>
      <c r="U185" s="3">
        <f>0.75*Sheet1!U185</f>
        <v>3.1616249999999999</v>
      </c>
      <c r="V185" s="3">
        <f>0.75*Sheet1!V185</f>
        <v>6.3446250000000006</v>
      </c>
      <c r="W185" s="3">
        <f>0.75*Sheet1!W185</f>
        <v>1.680375</v>
      </c>
      <c r="Y185" s="3">
        <f>1.25*Sheet1!Y185</f>
        <v>7.4606249999999994</v>
      </c>
      <c r="Z185" s="3">
        <f>0.5*Sheet1!Z185</f>
        <v>3.10975</v>
      </c>
      <c r="AA185" s="3">
        <f>0.5*Sheet1!AA185</f>
        <v>3.1519999999999948</v>
      </c>
      <c r="AB185" s="3">
        <f>0.5*Sheet1!AB185</f>
        <v>2.4539999999999949</v>
      </c>
      <c r="AD185" s="3">
        <f t="shared" si="2"/>
        <v>131.46012500000001</v>
      </c>
    </row>
    <row r="186" spans="1:30" s="3" customFormat="1" ht="16" x14ac:dyDescent="0.2">
      <c r="A186" s="2">
        <v>183</v>
      </c>
      <c r="B186" s="2" t="s">
        <v>283</v>
      </c>
      <c r="C186" s="2" t="s">
        <v>284</v>
      </c>
      <c r="D186" s="2" t="s">
        <v>6</v>
      </c>
      <c r="F186" s="3">
        <f>0.75*Sheet1!F186</f>
        <v>2.3647499999999999</v>
      </c>
      <c r="G186" s="3">
        <f>1.25*Sheet1!G186</f>
        <v>0</v>
      </c>
      <c r="H186" s="3">
        <f>1.25*Sheet1!H186</f>
        <v>8.6843749999999993</v>
      </c>
      <c r="J186" s="3">
        <f>1.25*Sheet1!J186</f>
        <v>8.6843749999999993</v>
      </c>
      <c r="K186" s="3">
        <f>1.25*Sheet1!K186</f>
        <v>4.4487499999999871</v>
      </c>
      <c r="L186" s="3">
        <f>1.25*Sheet1!L186</f>
        <v>0</v>
      </c>
      <c r="M186" s="3">
        <f>1.5*Sheet1!M186</f>
        <v>9.0607499999999987</v>
      </c>
      <c r="N186" s="3">
        <f>1.25*Sheet1!N186</f>
        <v>7.7608333333333244</v>
      </c>
      <c r="O186" s="3">
        <f>1.5*Sheet1!O186</f>
        <v>10.17825</v>
      </c>
      <c r="Q186" s="3">
        <f>1*Sheet1!Q186</f>
        <v>6.2086666666666597</v>
      </c>
      <c r="R186" s="3">
        <f>1.25*Sheet1!R186</f>
        <v>8.4818750000000005</v>
      </c>
      <c r="S186" s="3">
        <f>1.5*Sheet1!S186</f>
        <v>10.464</v>
      </c>
      <c r="T186" s="3">
        <f>1.5*Sheet1!T186</f>
        <v>9.8899999999999952</v>
      </c>
      <c r="U186" s="3">
        <f>0.75*Sheet1!U186</f>
        <v>0</v>
      </c>
      <c r="V186" s="3">
        <f>0.75*Sheet1!V186</f>
        <v>3.2881874999999998</v>
      </c>
      <c r="W186" s="3">
        <f>0.75*Sheet1!W186</f>
        <v>1.5014999999999998</v>
      </c>
      <c r="Y186" s="3">
        <f>1.25*Sheet1!Y186</f>
        <v>3.9874999999999998</v>
      </c>
      <c r="Z186" s="3">
        <f>0.5*Sheet1!Z186</f>
        <v>2.7782499999999999</v>
      </c>
      <c r="AA186" s="3">
        <f>0.5*Sheet1!AA186</f>
        <v>2.4097499999999998</v>
      </c>
      <c r="AB186" s="3">
        <f>0.5*Sheet1!AB186</f>
        <v>0</v>
      </c>
      <c r="AD186" s="3">
        <f t="shared" si="2"/>
        <v>100.19181249999995</v>
      </c>
    </row>
    <row r="187" spans="1:30" s="3" customFormat="1" ht="16" x14ac:dyDescent="0.2">
      <c r="A187" s="2">
        <v>9</v>
      </c>
      <c r="B187" s="2" t="s">
        <v>285</v>
      </c>
      <c r="C187" s="2" t="s">
        <v>286</v>
      </c>
      <c r="D187" s="2" t="s">
        <v>11</v>
      </c>
      <c r="F187" s="3">
        <f>0.75*Sheet1!F187</f>
        <v>6.9198749999999993</v>
      </c>
      <c r="G187" s="3">
        <f>1.25*Sheet1!G187</f>
        <v>11.61875</v>
      </c>
      <c r="H187" s="3">
        <f>1.25*Sheet1!H187</f>
        <v>10.529374999999987</v>
      </c>
      <c r="J187" s="3">
        <f>1.25*Sheet1!J187</f>
        <v>10.529374999999987</v>
      </c>
      <c r="K187" s="3">
        <f>1.25*Sheet1!K187</f>
        <v>2.75875</v>
      </c>
      <c r="L187" s="3">
        <f>1.25*Sheet1!L187</f>
        <v>0</v>
      </c>
      <c r="M187" s="3">
        <f>1.5*Sheet1!M187</f>
        <v>6.1635</v>
      </c>
      <c r="N187" s="3">
        <f>1.25*Sheet1!N187</f>
        <v>4.6050000000000004</v>
      </c>
      <c r="O187" s="3">
        <f>1.5*Sheet1!O187</f>
        <v>10.577249999999985</v>
      </c>
      <c r="Q187" s="3">
        <f>1*Sheet1!Q187</f>
        <v>3.6840000000000002</v>
      </c>
      <c r="R187" s="3">
        <f>1.25*Sheet1!R187</f>
        <v>8.8143749999999876</v>
      </c>
      <c r="S187" s="3">
        <f>1.5*Sheet1!S187</f>
        <v>10.40175</v>
      </c>
      <c r="T187" s="3">
        <f>1.5*Sheet1!T187</f>
        <v>8.2279999999999944</v>
      </c>
      <c r="U187" s="3">
        <f>0.75*Sheet1!U187</f>
        <v>0</v>
      </c>
      <c r="V187" s="3">
        <f>0.75*Sheet1!V187</f>
        <v>2.97675</v>
      </c>
      <c r="W187" s="3">
        <f>0.75*Sheet1!W187</f>
        <v>0.48375000000000001</v>
      </c>
      <c r="Y187" s="3">
        <f>1.25*Sheet1!Y187</f>
        <v>1.8487500000000001</v>
      </c>
      <c r="Z187" s="3">
        <f>0.5*Sheet1!Z187</f>
        <v>2.9959999999999951</v>
      </c>
      <c r="AA187" s="3">
        <f>0.5*Sheet1!AA187</f>
        <v>1.7422500000000001</v>
      </c>
      <c r="AB187" s="3">
        <f>0.5*Sheet1!AB187</f>
        <v>2.484375</v>
      </c>
      <c r="AD187" s="3">
        <f t="shared" si="2"/>
        <v>107.36187499999993</v>
      </c>
    </row>
    <row r="188" spans="1:30" s="3" customFormat="1" ht="16" x14ac:dyDescent="0.2">
      <c r="A188" s="2">
        <v>186</v>
      </c>
      <c r="B188" s="2" t="s">
        <v>287</v>
      </c>
      <c r="C188" s="2" t="s">
        <v>288</v>
      </c>
      <c r="D188" s="2" t="s">
        <v>6</v>
      </c>
      <c r="F188" s="3">
        <f>0.75*Sheet1!F188</f>
        <v>3.1552499999999997</v>
      </c>
      <c r="G188" s="3">
        <f>1.25*Sheet1!G188</f>
        <v>5.5274999999999999</v>
      </c>
      <c r="H188" s="3">
        <f>1.25*Sheet1!H188</f>
        <v>4.7231250000000005</v>
      </c>
      <c r="J188" s="3">
        <f>1.25*Sheet1!J188</f>
        <v>4.7231250000000005</v>
      </c>
      <c r="K188" s="3">
        <f>1.25*Sheet1!K188</f>
        <v>9.203125</v>
      </c>
      <c r="L188" s="3">
        <f>1.25*Sheet1!L188</f>
        <v>6.519999999999988</v>
      </c>
      <c r="M188" s="3">
        <f>1.5*Sheet1!M188</f>
        <v>9.7717500000000008</v>
      </c>
      <c r="N188" s="3">
        <f>1.25*Sheet1!N188</f>
        <v>10.838749999999999</v>
      </c>
      <c r="O188" s="3">
        <f>1.5*Sheet1!O188</f>
        <v>8.7967499999999994</v>
      </c>
      <c r="Q188" s="3">
        <f>1*Sheet1!Q188</f>
        <v>8.6709999999999994</v>
      </c>
      <c r="R188" s="3">
        <f>1.25*Sheet1!R188</f>
        <v>7.3306249999999995</v>
      </c>
      <c r="S188" s="3">
        <f>1.5*Sheet1!S188</f>
        <v>4.6994999999999845</v>
      </c>
      <c r="T188" s="3">
        <f>1.5*Sheet1!T188</f>
        <v>9.7239999999999895</v>
      </c>
      <c r="U188" s="3">
        <f>0.75*Sheet1!U188</f>
        <v>4.5213749999999999</v>
      </c>
      <c r="V188" s="3">
        <f>0.75*Sheet1!V188</f>
        <v>3.843</v>
      </c>
      <c r="W188" s="3">
        <f>0.75*Sheet1!W188</f>
        <v>2.6669999999999923</v>
      </c>
      <c r="Y188" s="3">
        <f>1.25*Sheet1!Y188</f>
        <v>9.3037499999999991</v>
      </c>
      <c r="Z188" s="3">
        <f>0.5*Sheet1!Z188</f>
        <v>4.2460000000000004</v>
      </c>
      <c r="AA188" s="3">
        <f>0.5*Sheet1!AA188</f>
        <v>2.0575000000000001</v>
      </c>
      <c r="AB188" s="3">
        <f>0.5*Sheet1!AB188</f>
        <v>2.06575</v>
      </c>
      <c r="AD188" s="3">
        <f t="shared" si="2"/>
        <v>122.38887499999993</v>
      </c>
    </row>
    <row r="189" spans="1:30" s="3" customFormat="1" ht="16" x14ac:dyDescent="0.2">
      <c r="A189" s="2">
        <v>190</v>
      </c>
      <c r="B189" s="2" t="s">
        <v>289</v>
      </c>
      <c r="C189" s="2" t="s">
        <v>288</v>
      </c>
      <c r="D189" s="2" t="s">
        <v>6</v>
      </c>
      <c r="F189" s="3">
        <f>0.75*Sheet1!F189</f>
        <v>4.4726249999999999</v>
      </c>
      <c r="G189" s="3">
        <f>1.25*Sheet1!G189</f>
        <v>5.9937500000000004</v>
      </c>
      <c r="H189" s="3">
        <f>1.25*Sheet1!H189</f>
        <v>4.7231250000000005</v>
      </c>
      <c r="J189" s="3">
        <f>1.25*Sheet1!J189</f>
        <v>4.7231250000000005</v>
      </c>
      <c r="K189" s="3">
        <f>1.25*Sheet1!K189</f>
        <v>8.1343750000000004</v>
      </c>
      <c r="L189" s="3">
        <f>1.25*Sheet1!L189</f>
        <v>4.4762499999999878</v>
      </c>
      <c r="M189" s="3">
        <f>1.5*Sheet1!M189</f>
        <v>9.7717500000000008</v>
      </c>
      <c r="N189" s="3">
        <f>1.25*Sheet1!N189</f>
        <v>10.838749999999999</v>
      </c>
      <c r="O189" s="3">
        <f>1.5*Sheet1!O189</f>
        <v>11.084999999999999</v>
      </c>
      <c r="Q189" s="3">
        <f>1*Sheet1!Q189</f>
        <v>8.6709999999999994</v>
      </c>
      <c r="R189" s="3">
        <f>1.25*Sheet1!R189</f>
        <v>9.2374999999999989</v>
      </c>
      <c r="S189" s="3">
        <f>1.5*Sheet1!S189</f>
        <v>7.1865000000000006</v>
      </c>
      <c r="T189" s="3">
        <f>1.5*Sheet1!T189</f>
        <v>9.5994999999999902</v>
      </c>
      <c r="U189" s="3">
        <f>0.75*Sheet1!U189</f>
        <v>4.945125</v>
      </c>
      <c r="V189" s="3">
        <f>0.75*Sheet1!V189</f>
        <v>5.1556875</v>
      </c>
      <c r="W189" s="3">
        <f>0.75*Sheet1!W189</f>
        <v>1.3034999999999926</v>
      </c>
      <c r="Y189" s="3">
        <f>1.25*Sheet1!Y189</f>
        <v>10.836874999999999</v>
      </c>
      <c r="Z189" s="3">
        <f>0.5*Sheet1!Z189</f>
        <v>3.4295</v>
      </c>
      <c r="AA189" s="3">
        <f>0.5*Sheet1!AA189</f>
        <v>2.0342500000000001</v>
      </c>
      <c r="AB189" s="3">
        <f>0.5*Sheet1!AB189</f>
        <v>2.1539999999999999</v>
      </c>
      <c r="AD189" s="3">
        <f t="shared" si="2"/>
        <v>128.77218749999997</v>
      </c>
    </row>
    <row r="190" spans="1:30" s="3" customFormat="1" ht="16" x14ac:dyDescent="0.2">
      <c r="A190" s="2">
        <v>134</v>
      </c>
      <c r="B190" s="2" t="s">
        <v>290</v>
      </c>
      <c r="C190" s="2" t="s">
        <v>291</v>
      </c>
      <c r="D190" s="2" t="s">
        <v>11</v>
      </c>
      <c r="F190" s="3">
        <f>0.75*Sheet1!F190</f>
        <v>6.5339999999999998</v>
      </c>
      <c r="G190" s="3">
        <f>1.25*Sheet1!G190</f>
        <v>10.620000000000001</v>
      </c>
      <c r="H190" s="3">
        <f>1.25*Sheet1!H190</f>
        <v>8.1549999999999994</v>
      </c>
      <c r="J190" s="3">
        <f>1.25*Sheet1!J190</f>
        <v>8.1549999999999994</v>
      </c>
      <c r="K190" s="3">
        <f>1.25*Sheet1!K190</f>
        <v>4.8543750000000001</v>
      </c>
      <c r="L190" s="3">
        <f>1.25*Sheet1!L190</f>
        <v>2.0625</v>
      </c>
      <c r="M190" s="3">
        <f>1.5*Sheet1!M190</f>
        <v>4.7437500000000004</v>
      </c>
      <c r="N190" s="3">
        <f>1.25*Sheet1!N190</f>
        <v>6.2520833333333243</v>
      </c>
      <c r="O190" s="3">
        <f>1.5*Sheet1!O190</f>
        <v>9.1207499999999992</v>
      </c>
      <c r="Q190" s="3">
        <f>1*Sheet1!Q190</f>
        <v>5.0016666666666598</v>
      </c>
      <c r="R190" s="3">
        <f>1.25*Sheet1!R190</f>
        <v>7.600625</v>
      </c>
      <c r="S190" s="3">
        <f>1.5*Sheet1!S190</f>
        <v>7.9357499999999996</v>
      </c>
      <c r="T190" s="3">
        <f>1.5*Sheet1!T190</f>
        <v>8.5659999999999901</v>
      </c>
      <c r="U190" s="3">
        <f>0.75*Sheet1!U190</f>
        <v>0.375</v>
      </c>
      <c r="V190" s="3">
        <f>0.75*Sheet1!V190</f>
        <v>1.8605624999999999</v>
      </c>
      <c r="W190" s="3">
        <f>0.75*Sheet1!W190</f>
        <v>1.5089999999999999</v>
      </c>
      <c r="Y190" s="3">
        <f>1.25*Sheet1!Y190</f>
        <v>3.0125000000000002</v>
      </c>
      <c r="Z190" s="3">
        <f>0.5*Sheet1!Z190</f>
        <v>3.4042500000000002</v>
      </c>
      <c r="AA190" s="3">
        <f>0.5*Sheet1!AA190</f>
        <v>2.694</v>
      </c>
      <c r="AB190" s="3">
        <f>0.5*Sheet1!AB190</f>
        <v>2.3794999999999948</v>
      </c>
      <c r="AD190" s="3">
        <f t="shared" si="2"/>
        <v>104.83631249999996</v>
      </c>
    </row>
    <row r="191" spans="1:30" s="3" customFormat="1" ht="16" x14ac:dyDescent="0.2">
      <c r="A191" s="2">
        <v>150</v>
      </c>
      <c r="B191" s="2" t="s">
        <v>292</v>
      </c>
      <c r="C191" s="2" t="s">
        <v>293</v>
      </c>
      <c r="D191" s="2" t="s">
        <v>16</v>
      </c>
      <c r="F191" s="3">
        <f>0.75*Sheet1!F191</f>
        <v>6.4466249999999992</v>
      </c>
      <c r="G191" s="3">
        <f>1.25*Sheet1!G191</f>
        <v>10.939999999999987</v>
      </c>
      <c r="H191" s="3">
        <f>1.25*Sheet1!H191</f>
        <v>5.3787500000000001</v>
      </c>
      <c r="J191" s="3">
        <f>1.25*Sheet1!J191</f>
        <v>5.3787500000000001</v>
      </c>
      <c r="K191" s="3">
        <f>1.25*Sheet1!K191</f>
        <v>6.0062499999999996</v>
      </c>
      <c r="L191" s="3">
        <f>1.25*Sheet1!L191</f>
        <v>4.4337499999999999</v>
      </c>
      <c r="M191" s="3">
        <f>1.5*Sheet1!M191</f>
        <v>7.5097499999999853</v>
      </c>
      <c r="N191" s="3">
        <f>1.25*Sheet1!N191</f>
        <v>5.7404166666666621</v>
      </c>
      <c r="O191" s="3">
        <f>1.5*Sheet1!O191</f>
        <v>8.2545000000000002</v>
      </c>
      <c r="Q191" s="3">
        <f>1*Sheet1!Q191</f>
        <v>4.5923333333333298</v>
      </c>
      <c r="R191" s="3">
        <f>1.25*Sheet1!R191</f>
        <v>6.8787500000000001</v>
      </c>
      <c r="S191" s="3">
        <f>1.5*Sheet1!S191</f>
        <v>9.6517499999999998</v>
      </c>
      <c r="T191" s="3">
        <f>1.5*Sheet1!T191</f>
        <v>6.4464999999999897</v>
      </c>
      <c r="U191" s="3">
        <f>0.75*Sheet1!U191</f>
        <v>0</v>
      </c>
      <c r="V191" s="3">
        <f>0.75*Sheet1!V191</f>
        <v>1.2622500000000001</v>
      </c>
      <c r="W191" s="3">
        <f>0.75*Sheet1!W191</f>
        <v>1.975875</v>
      </c>
      <c r="Y191" s="3">
        <f>1.25*Sheet1!Y191</f>
        <v>5.76</v>
      </c>
      <c r="Z191" s="3">
        <f>0.5*Sheet1!Z191</f>
        <v>3.7919999999999998</v>
      </c>
      <c r="AA191" s="3">
        <f>0.5*Sheet1!AA191</f>
        <v>2.41275</v>
      </c>
      <c r="AB191" s="3">
        <f>0.5*Sheet1!AB191</f>
        <v>1.8565</v>
      </c>
      <c r="AD191" s="3">
        <f t="shared" si="2"/>
        <v>104.71749999999996</v>
      </c>
    </row>
    <row r="192" spans="1:30" s="3" customFormat="1" ht="16" x14ac:dyDescent="0.2">
      <c r="A192" s="2">
        <v>93</v>
      </c>
      <c r="B192" s="2" t="s">
        <v>294</v>
      </c>
      <c r="C192" s="2" t="s">
        <v>295</v>
      </c>
      <c r="D192" s="2" t="s">
        <v>26</v>
      </c>
      <c r="F192" s="3">
        <f>0.75*Sheet1!F192</f>
        <v>6.3809999999999993</v>
      </c>
      <c r="G192" s="3">
        <f>1.25*Sheet1!G192</f>
        <v>10.158749999999987</v>
      </c>
      <c r="H192" s="3">
        <f>1.25*Sheet1!H192</f>
        <v>6.3712499999999874</v>
      </c>
      <c r="J192" s="3">
        <f>1.25*Sheet1!J192</f>
        <v>6.3712499999999874</v>
      </c>
      <c r="K192" s="3">
        <f>1.25*Sheet1!K192</f>
        <v>3.359375</v>
      </c>
      <c r="L192" s="3">
        <f>1.25*Sheet1!L192</f>
        <v>0</v>
      </c>
      <c r="M192" s="3">
        <f>1.5*Sheet1!M192</f>
        <v>7.1422499999999998</v>
      </c>
      <c r="N192" s="3">
        <f>1.25*Sheet1!N192</f>
        <v>7.1304166666666626</v>
      </c>
      <c r="O192" s="3">
        <f>1.5*Sheet1!O192</f>
        <v>6.7177500000000006</v>
      </c>
      <c r="Q192" s="3">
        <f>1*Sheet1!Q192</f>
        <v>5.7043333333333299</v>
      </c>
      <c r="R192" s="3">
        <f>1.25*Sheet1!R192</f>
        <v>5.5981250000000005</v>
      </c>
      <c r="S192" s="3">
        <f>1.5*Sheet1!S192</f>
        <v>12.060749999999999</v>
      </c>
      <c r="T192" s="3">
        <f>1.5*Sheet1!T192</f>
        <v>10.283499999999989</v>
      </c>
      <c r="U192" s="3">
        <f>0.75*Sheet1!U192</f>
        <v>3.4961250000000001</v>
      </c>
      <c r="V192" s="3">
        <f>0.75*Sheet1!V192</f>
        <v>5.8458750000000004</v>
      </c>
      <c r="W192" s="3">
        <f>0.75*Sheet1!W192</f>
        <v>2.1258749999999997</v>
      </c>
      <c r="Y192" s="3">
        <f>1.25*Sheet1!Y192</f>
        <v>6.2949999999999999</v>
      </c>
      <c r="Z192" s="3">
        <f>0.5*Sheet1!Z192</f>
        <v>2.7574999999999998</v>
      </c>
      <c r="AA192" s="3">
        <f>0.5*Sheet1!AA192</f>
        <v>2.5124999999999948</v>
      </c>
      <c r="AB192" s="3">
        <f>0.5*Sheet1!AB192</f>
        <v>2.9304999999999999</v>
      </c>
      <c r="AD192" s="3">
        <f t="shared" si="2"/>
        <v>113.24212499999993</v>
      </c>
    </row>
    <row r="193" spans="1:30" s="3" customFormat="1" ht="16" x14ac:dyDescent="0.2">
      <c r="A193" s="2">
        <v>123</v>
      </c>
      <c r="B193" s="2" t="s">
        <v>296</v>
      </c>
      <c r="C193" s="2" t="s">
        <v>295</v>
      </c>
      <c r="D193" s="2" t="s">
        <v>26</v>
      </c>
      <c r="F193" s="3">
        <f>0.75*Sheet1!F193</f>
        <v>6.3183749999999996</v>
      </c>
      <c r="G193" s="3">
        <f>1.25*Sheet1!G193</f>
        <v>10.63625</v>
      </c>
      <c r="H193" s="3">
        <f>1.25*Sheet1!H193</f>
        <v>6.3712499999999874</v>
      </c>
      <c r="J193" s="3">
        <f>1.25*Sheet1!J193</f>
        <v>6.3712499999999874</v>
      </c>
      <c r="K193" s="3">
        <f>1.25*Sheet1!K193</f>
        <v>5.6674999999999995</v>
      </c>
      <c r="L193" s="3">
        <f>1.25*Sheet1!L193</f>
        <v>2.6374999999999997</v>
      </c>
      <c r="M193" s="3">
        <f>1.5*Sheet1!M193</f>
        <v>7.1422499999999998</v>
      </c>
      <c r="N193" s="3">
        <f>1.25*Sheet1!N193</f>
        <v>7.1304166666666626</v>
      </c>
      <c r="O193" s="3">
        <f>1.5*Sheet1!O193</f>
        <v>6.8879999999999999</v>
      </c>
      <c r="Q193" s="3">
        <f>1*Sheet1!Q193</f>
        <v>5.7043333333333299</v>
      </c>
      <c r="R193" s="3">
        <f>1.25*Sheet1!R193</f>
        <v>5.7399999999999993</v>
      </c>
      <c r="S193" s="3">
        <f>1.5*Sheet1!S193</f>
        <v>12.782249999999999</v>
      </c>
      <c r="T193" s="3">
        <f>1.5*Sheet1!T193</f>
        <v>10.280999999999985</v>
      </c>
      <c r="U193" s="3">
        <f>0.75*Sheet1!U193</f>
        <v>3.4968749999999997</v>
      </c>
      <c r="V193" s="3">
        <f>0.75*Sheet1!V193</f>
        <v>3.6014999999999997</v>
      </c>
      <c r="W193" s="3">
        <f>0.75*Sheet1!W193</f>
        <v>2.1963750000000002</v>
      </c>
      <c r="Y193" s="3">
        <f>1.25*Sheet1!Y193</f>
        <v>7.234375</v>
      </c>
      <c r="Z193" s="3">
        <f>0.5*Sheet1!Z193</f>
        <v>3.919999999999995</v>
      </c>
      <c r="AA193" s="3">
        <f>0.5*Sheet1!AA193</f>
        <v>2.1542500000000002</v>
      </c>
      <c r="AB193" s="3">
        <f>0.5*Sheet1!AB193</f>
        <v>2.8144999999999998</v>
      </c>
      <c r="AD193" s="3">
        <f t="shared" si="2"/>
        <v>119.08824999999996</v>
      </c>
    </row>
    <row r="194" spans="1:30" s="3" customFormat="1" ht="16" x14ac:dyDescent="0.2">
      <c r="A194" s="2">
        <v>258</v>
      </c>
      <c r="B194" s="2" t="s">
        <v>297</v>
      </c>
      <c r="C194" s="2" t="s">
        <v>295</v>
      </c>
      <c r="D194" s="2" t="s">
        <v>26</v>
      </c>
      <c r="F194" s="3">
        <f>0.75*Sheet1!F194</f>
        <v>5.9021249999999998</v>
      </c>
      <c r="G194" s="3">
        <f>1.25*Sheet1!G194</f>
        <v>10.24</v>
      </c>
      <c r="H194" s="3">
        <f>1.25*Sheet1!H194</f>
        <v>6.3712499999999874</v>
      </c>
      <c r="J194" s="3">
        <f>1.25*Sheet1!J194</f>
        <v>6.3712499999999874</v>
      </c>
      <c r="K194" s="3">
        <f>1.25*Sheet1!K194</f>
        <v>7.6518750000000004</v>
      </c>
      <c r="L194" s="3">
        <f>1.25*Sheet1!L194</f>
        <v>2.3162499999999877</v>
      </c>
      <c r="M194" s="3">
        <f>1.5*Sheet1!M194</f>
        <v>7.1422499999999998</v>
      </c>
      <c r="N194" s="3">
        <f>1.25*Sheet1!N194</f>
        <v>7.1304166666666626</v>
      </c>
      <c r="O194" s="3">
        <f>1.5*Sheet1!O194</f>
        <v>6.9540000000000006</v>
      </c>
      <c r="Q194" s="3">
        <f>1*Sheet1!Q194</f>
        <v>5.7043333333333299</v>
      </c>
      <c r="R194" s="3">
        <f>1.25*Sheet1!R194</f>
        <v>5.7949999999999999</v>
      </c>
      <c r="S194" s="3">
        <f>1.5*Sheet1!S194</f>
        <v>13.049250000000001</v>
      </c>
      <c r="T194" s="3">
        <f>1.5*Sheet1!T194</f>
        <v>10.322499999999989</v>
      </c>
      <c r="U194" s="3">
        <f>0.75*Sheet1!U194</f>
        <v>3.5013749999999999</v>
      </c>
      <c r="V194" s="3">
        <f>0.75*Sheet1!V194</f>
        <v>4.7917499999999924</v>
      </c>
      <c r="W194" s="3">
        <f>0.75*Sheet1!W194</f>
        <v>2.8979999999999997</v>
      </c>
      <c r="Y194" s="3">
        <f>1.25*Sheet1!Y194</f>
        <v>7.5</v>
      </c>
      <c r="Z194" s="3">
        <f>0.5*Sheet1!Z194</f>
        <v>3.6677499999999998</v>
      </c>
      <c r="AA194" s="3">
        <f>0.5*Sheet1!AA194</f>
        <v>2.4805000000000001</v>
      </c>
      <c r="AB194" s="3">
        <f>0.5*Sheet1!AB194</f>
        <v>2.6014999999999948</v>
      </c>
      <c r="AD194" s="3">
        <f t="shared" si="2"/>
        <v>122.39137499999994</v>
      </c>
    </row>
    <row r="195" spans="1:30" s="3" customFormat="1" ht="16" x14ac:dyDescent="0.2">
      <c r="A195" s="2">
        <v>262</v>
      </c>
      <c r="B195" s="2" t="s">
        <v>298</v>
      </c>
      <c r="C195" s="2" t="s">
        <v>295</v>
      </c>
      <c r="D195" s="2" t="s">
        <v>26</v>
      </c>
      <c r="F195" s="3">
        <f>0.75*Sheet1!F195</f>
        <v>6.3390000000000004</v>
      </c>
      <c r="G195" s="3">
        <f>1.25*Sheet1!G195</f>
        <v>10.542499999999999</v>
      </c>
      <c r="H195" s="3">
        <f>1.25*Sheet1!H195</f>
        <v>6.3712499999999874</v>
      </c>
      <c r="J195" s="3">
        <f>1.25*Sheet1!J195</f>
        <v>6.3712499999999874</v>
      </c>
      <c r="K195" s="3">
        <f>1.25*Sheet1!K195</f>
        <v>4.4824999999999999</v>
      </c>
      <c r="L195" s="3">
        <f>1.25*Sheet1!L195</f>
        <v>2.9824999999999999</v>
      </c>
      <c r="M195" s="3">
        <f>1.5*Sheet1!M195</f>
        <v>7.1422499999999998</v>
      </c>
      <c r="N195" s="3">
        <f>1.25*Sheet1!N195</f>
        <v>7.1304166666666626</v>
      </c>
      <c r="O195" s="3">
        <f>1.5*Sheet1!O195</f>
        <v>5.8567499999999999</v>
      </c>
      <c r="Q195" s="3">
        <f>1*Sheet1!Q195</f>
        <v>5.7043333333333299</v>
      </c>
      <c r="R195" s="3">
        <f>1.25*Sheet1!R195</f>
        <v>4.8806250000000002</v>
      </c>
      <c r="S195" s="3">
        <f>1.5*Sheet1!S195</f>
        <v>12.248249999999999</v>
      </c>
      <c r="T195" s="3">
        <f>1.5*Sheet1!T195</f>
        <v>10.171999999999995</v>
      </c>
      <c r="U195" s="3">
        <f>0.75*Sheet1!U195</f>
        <v>3.1211250000000001</v>
      </c>
      <c r="V195" s="3">
        <f>0.75*Sheet1!V195</f>
        <v>3.7235625000000003</v>
      </c>
      <c r="W195" s="3">
        <f>0.75*Sheet1!W195</f>
        <v>1.6833749999999998</v>
      </c>
      <c r="Y195" s="3">
        <f>1.25*Sheet1!Y195</f>
        <v>7.2018749999999994</v>
      </c>
      <c r="Z195" s="3">
        <f>0.5*Sheet1!Z195</f>
        <v>2.3747500000000001</v>
      </c>
      <c r="AA195" s="3">
        <f>0.5*Sheet1!AA195</f>
        <v>2.0425</v>
      </c>
      <c r="AB195" s="3">
        <f>0.5*Sheet1!AB195</f>
        <v>2.4773749999999999</v>
      </c>
      <c r="AD195" s="3">
        <f t="shared" si="2"/>
        <v>112.84818749999997</v>
      </c>
    </row>
    <row r="196" spans="1:30" s="3" customFormat="1" ht="16" x14ac:dyDescent="0.2">
      <c r="A196" s="2">
        <v>135</v>
      </c>
      <c r="B196" s="2" t="s">
        <v>299</v>
      </c>
      <c r="C196" s="2" t="s">
        <v>300</v>
      </c>
      <c r="D196" s="2" t="s">
        <v>26</v>
      </c>
      <c r="F196" s="3">
        <f>0.75*Sheet1!F196</f>
        <v>5.0504999999999995</v>
      </c>
      <c r="G196" s="3">
        <f>1.25*Sheet1!G196</f>
        <v>8.754999999999999</v>
      </c>
      <c r="H196" s="3">
        <f>1.25*Sheet1!H196</f>
        <v>5.1968749999999995</v>
      </c>
      <c r="J196" s="3">
        <f>1.25*Sheet1!J196</f>
        <v>5.1968749999999995</v>
      </c>
      <c r="K196" s="3">
        <f>1.25*Sheet1!K196</f>
        <v>7.5274999999999999</v>
      </c>
      <c r="L196" s="3">
        <f>1.25*Sheet1!L196</f>
        <v>3.9924999999999997</v>
      </c>
      <c r="M196" s="3">
        <f>1.5*Sheet1!M196</f>
        <v>5.2244999999999999</v>
      </c>
      <c r="N196" s="3">
        <f>1.25*Sheet1!N196</f>
        <v>10.298333333333325</v>
      </c>
      <c r="O196" s="3">
        <f>1.5*Sheet1!O196</f>
        <v>14.395499999999998</v>
      </c>
      <c r="Q196" s="3">
        <f>1*Sheet1!Q196</f>
        <v>8.2386666666666599</v>
      </c>
      <c r="R196" s="3">
        <f>1.25*Sheet1!R196</f>
        <v>11.99625</v>
      </c>
      <c r="S196" s="3">
        <f>1.5*Sheet1!S196</f>
        <v>12.657</v>
      </c>
      <c r="T196" s="3">
        <f>1.5*Sheet1!T196</f>
        <v>11.790499999999994</v>
      </c>
      <c r="U196" s="3">
        <f>0.75*Sheet1!U196</f>
        <v>3.3600000000000003</v>
      </c>
      <c r="V196" s="3">
        <f>0.75*Sheet1!V196</f>
        <v>4.8086250000000001</v>
      </c>
      <c r="W196" s="3">
        <f>0.75*Sheet1!W196</f>
        <v>3.1432500000000001</v>
      </c>
      <c r="Y196" s="3">
        <f>1.25*Sheet1!Y196</f>
        <v>7.9924999999999997</v>
      </c>
      <c r="Z196" s="3">
        <f>0.5*Sheet1!Z196</f>
        <v>3.91675</v>
      </c>
      <c r="AA196" s="3">
        <f>0.5*Sheet1!AA196</f>
        <v>2.845499999999995</v>
      </c>
      <c r="AB196" s="3">
        <f>0.5*Sheet1!AB196</f>
        <v>2.6578750000000002</v>
      </c>
      <c r="AD196" s="3">
        <f t="shared" si="2"/>
        <v>139.04449999999994</v>
      </c>
    </row>
    <row r="197" spans="1:30" s="3" customFormat="1" ht="16" x14ac:dyDescent="0.2">
      <c r="A197" s="2">
        <v>193</v>
      </c>
      <c r="B197" s="2" t="s">
        <v>301</v>
      </c>
      <c r="C197" s="2" t="s">
        <v>300</v>
      </c>
      <c r="D197" s="2" t="s">
        <v>26</v>
      </c>
      <c r="F197" s="3">
        <f>0.75*Sheet1!F197</f>
        <v>6.0821250000000004</v>
      </c>
      <c r="G197" s="3">
        <f>1.25*Sheet1!G197</f>
        <v>9.2774999999999999</v>
      </c>
      <c r="H197" s="3">
        <f>1.25*Sheet1!H197</f>
        <v>5.1968749999999995</v>
      </c>
      <c r="J197" s="3">
        <f>1.25*Sheet1!J197</f>
        <v>5.1968749999999995</v>
      </c>
      <c r="K197" s="3">
        <f>1.25*Sheet1!K197</f>
        <v>5.3912499999999994</v>
      </c>
      <c r="L197" s="3">
        <f>1.25*Sheet1!L197</f>
        <v>2.3574999999999999</v>
      </c>
      <c r="M197" s="3">
        <f>1.5*Sheet1!M197</f>
        <v>5.2244999999999999</v>
      </c>
      <c r="N197" s="3">
        <f>1.25*Sheet1!N197</f>
        <v>10.298333333333325</v>
      </c>
      <c r="O197" s="3">
        <f>1.5*Sheet1!O197</f>
        <v>14.360249999999999</v>
      </c>
      <c r="Q197" s="3">
        <f>1*Sheet1!Q197</f>
        <v>8.2386666666666599</v>
      </c>
      <c r="R197" s="3">
        <f>1.25*Sheet1!R197</f>
        <v>11.966874999999998</v>
      </c>
      <c r="S197" s="3">
        <f>1.5*Sheet1!S197</f>
        <v>11.556750000000001</v>
      </c>
      <c r="T197" s="3">
        <f>1.5*Sheet1!T197</f>
        <v>12.249999999999991</v>
      </c>
      <c r="U197" s="3">
        <f>0.75*Sheet1!U197</f>
        <v>3.3367499999999999</v>
      </c>
      <c r="V197" s="3">
        <f>0.75*Sheet1!V197</f>
        <v>5.2790625000000002</v>
      </c>
      <c r="W197" s="3">
        <f>0.75*Sheet1!W197</f>
        <v>2.3336250000000001</v>
      </c>
      <c r="Y197" s="3">
        <f>1.25*Sheet1!Y197</f>
        <v>5.6181250000000009</v>
      </c>
      <c r="Z197" s="3">
        <f>0.5*Sheet1!Z197</f>
        <v>2.8125</v>
      </c>
      <c r="AA197" s="3">
        <f>0.5*Sheet1!AA197</f>
        <v>2.9742500000000001</v>
      </c>
      <c r="AB197" s="3">
        <f>0.5*Sheet1!AB197</f>
        <v>2.73</v>
      </c>
      <c r="AD197" s="3">
        <f t="shared" si="2"/>
        <v>132.48181249999996</v>
      </c>
    </row>
    <row r="198" spans="1:30" s="3" customFormat="1" ht="16" x14ac:dyDescent="0.2">
      <c r="A198" s="2">
        <v>214</v>
      </c>
      <c r="B198" s="2" t="s">
        <v>302</v>
      </c>
      <c r="C198" s="2" t="s">
        <v>303</v>
      </c>
      <c r="D198" s="2" t="s">
        <v>6</v>
      </c>
      <c r="F198" s="3">
        <f>0.75*Sheet1!F198</f>
        <v>5.5706249999999997</v>
      </c>
      <c r="G198" s="3">
        <f>1.25*Sheet1!G198</f>
        <v>7.4749999999999872</v>
      </c>
      <c r="H198" s="3">
        <f>1.25*Sheet1!H198</f>
        <v>5.4956249999999995</v>
      </c>
      <c r="J198" s="3">
        <f>1.25*Sheet1!J198</f>
        <v>5.4956249999999995</v>
      </c>
      <c r="K198" s="3">
        <f>1.25*Sheet1!K198</f>
        <v>1.785625</v>
      </c>
      <c r="L198" s="3">
        <f>1.25*Sheet1!L198</f>
        <v>0</v>
      </c>
      <c r="M198" s="3">
        <f>1.5*Sheet1!M198</f>
        <v>0</v>
      </c>
      <c r="N198" s="3">
        <f>1.25*Sheet1!N198</f>
        <v>3.9662499999999872</v>
      </c>
      <c r="O198" s="3">
        <f>1.5*Sheet1!O198</f>
        <v>5.49</v>
      </c>
      <c r="Q198" s="3">
        <f>1*Sheet1!Q198</f>
        <v>3.1729999999999898</v>
      </c>
      <c r="R198" s="3">
        <f>1.25*Sheet1!R198</f>
        <v>4.5750000000000002</v>
      </c>
      <c r="S198" s="3">
        <f>1.5*Sheet1!S198</f>
        <v>7.6815000000000007</v>
      </c>
      <c r="T198" s="3">
        <f>1.5*Sheet1!T198</f>
        <v>6.5449999999999946</v>
      </c>
      <c r="U198" s="3">
        <f>0.75*Sheet1!U198</f>
        <v>0</v>
      </c>
      <c r="V198" s="3">
        <f>0.75*Sheet1!V198</f>
        <v>3.3699374999999998</v>
      </c>
      <c r="W198" s="3">
        <f>0.75*Sheet1!W198</f>
        <v>1.0349999999999999</v>
      </c>
      <c r="Y198" s="3">
        <f>1.25*Sheet1!Y198</f>
        <v>5.3418749999999875</v>
      </c>
      <c r="Z198" s="3">
        <f>0.5*Sheet1!Z198</f>
        <v>3.4197500000000001</v>
      </c>
      <c r="AA198" s="3">
        <f>0.5*Sheet1!AA198</f>
        <v>2.6622499999999998</v>
      </c>
      <c r="AB198" s="3">
        <f>0.5*Sheet1!AB198</f>
        <v>0.57099999999999995</v>
      </c>
      <c r="AD198" s="3">
        <f t="shared" ref="AD198:AD261" si="3">SUM(F198:AB198)</f>
        <v>73.653062499999933</v>
      </c>
    </row>
    <row r="199" spans="1:30" s="3" customFormat="1" ht="16" x14ac:dyDescent="0.2">
      <c r="A199" s="2">
        <v>78</v>
      </c>
      <c r="B199" s="2" t="s">
        <v>304</v>
      </c>
      <c r="C199" s="2" t="s">
        <v>305</v>
      </c>
      <c r="D199" s="2" t="s">
        <v>16</v>
      </c>
      <c r="F199" s="3">
        <f>0.75*Sheet1!F199</f>
        <v>1.598625</v>
      </c>
      <c r="G199" s="3">
        <f>1.25*Sheet1!G199</f>
        <v>7.7287499999999998</v>
      </c>
      <c r="H199" s="3">
        <f>1.25*Sheet1!H199</f>
        <v>12.5</v>
      </c>
      <c r="J199" s="3">
        <f>1.25*Sheet1!J199</f>
        <v>12.5</v>
      </c>
      <c r="K199" s="3">
        <f>1.25*Sheet1!K199</f>
        <v>3.359375</v>
      </c>
      <c r="L199" s="3">
        <f>1.25*Sheet1!L199</f>
        <v>0</v>
      </c>
      <c r="M199" s="3">
        <f>1.5*Sheet1!M199</f>
        <v>14.085000000000001</v>
      </c>
      <c r="N199" s="3">
        <f>1.25*Sheet1!N199</f>
        <v>9.2604166666666625</v>
      </c>
      <c r="O199" s="3">
        <f>1.5*Sheet1!O199</f>
        <v>7.59375</v>
      </c>
      <c r="Q199" s="3">
        <f>1*Sheet1!Q199</f>
        <v>7.4083333333333297</v>
      </c>
      <c r="R199" s="3">
        <f>1.25*Sheet1!R199</f>
        <v>6.328125</v>
      </c>
      <c r="S199" s="3">
        <f>1.5*Sheet1!S199</f>
        <v>14.229000000000001</v>
      </c>
      <c r="T199" s="3">
        <f>1.5*Sheet1!T199</f>
        <v>11.15049999999999</v>
      </c>
      <c r="U199" s="3">
        <f>0.75*Sheet1!U199</f>
        <v>1.0751249999999999</v>
      </c>
      <c r="V199" s="3">
        <f>0.75*Sheet1!V199</f>
        <v>2.9563125000000001</v>
      </c>
      <c r="W199" s="3">
        <f>0.75*Sheet1!W199</f>
        <v>1.9818750000000001</v>
      </c>
      <c r="Y199" s="3">
        <f>1.25*Sheet1!Y199</f>
        <v>4.0562500000000004</v>
      </c>
      <c r="Z199" s="3">
        <f>0.5*Sheet1!Z199</f>
        <v>2.3102499999999999</v>
      </c>
      <c r="AA199" s="3">
        <f>0.5*Sheet1!AA199</f>
        <v>2.2184999999999948</v>
      </c>
      <c r="AB199" s="3">
        <f>0.5*Sheet1!AB199</f>
        <v>2.308125</v>
      </c>
      <c r="AD199" s="3">
        <f t="shared" si="3"/>
        <v>124.64831249999999</v>
      </c>
    </row>
    <row r="200" spans="1:30" s="3" customFormat="1" ht="16" x14ac:dyDescent="0.2">
      <c r="A200" s="2">
        <v>196</v>
      </c>
      <c r="B200" s="2" t="s">
        <v>306</v>
      </c>
      <c r="C200" s="2" t="s">
        <v>307</v>
      </c>
      <c r="D200" s="2" t="s">
        <v>6</v>
      </c>
      <c r="F200" s="3">
        <f>0.75*Sheet1!F200</f>
        <v>2.3647499999999999</v>
      </c>
      <c r="G200" s="3">
        <f>1.25*Sheet1!G200</f>
        <v>0</v>
      </c>
      <c r="H200" s="3">
        <f>1.25*Sheet1!H200</f>
        <v>5.2549999999999999</v>
      </c>
      <c r="J200" s="3">
        <f>1.25*Sheet1!J200</f>
        <v>5.2549999999999999</v>
      </c>
      <c r="K200" s="3">
        <f>1.25*Sheet1!K200</f>
        <v>4.7050000000000001</v>
      </c>
      <c r="L200" s="3">
        <f>1.25*Sheet1!L200</f>
        <v>1.25</v>
      </c>
      <c r="M200" s="3">
        <f>1.5*Sheet1!M200</f>
        <v>9.7717500000000008</v>
      </c>
      <c r="N200" s="3">
        <f>1.25*Sheet1!N200</f>
        <v>10.838749999999999</v>
      </c>
      <c r="O200" s="3">
        <f>1.5*Sheet1!O200</f>
        <v>11.234999999999999</v>
      </c>
      <c r="Q200" s="3">
        <f>1*Sheet1!Q200</f>
        <v>8.6709999999999994</v>
      </c>
      <c r="R200" s="3">
        <f>1.25*Sheet1!R200</f>
        <v>9.3625000000000007</v>
      </c>
      <c r="S200" s="3">
        <f>1.5*Sheet1!S200</f>
        <v>10.269</v>
      </c>
      <c r="T200" s="3">
        <f>1.5*Sheet1!T200</f>
        <v>9.7724999999999991</v>
      </c>
      <c r="U200" s="3">
        <f>0.75*Sheet1!U200</f>
        <v>3.9761249999999997</v>
      </c>
      <c r="V200" s="3">
        <f>0.75*Sheet1!V200</f>
        <v>4.4253749999999927</v>
      </c>
      <c r="W200" s="3">
        <f>0.75*Sheet1!W200</f>
        <v>2.2638750000000001</v>
      </c>
      <c r="Y200" s="3">
        <f>1.25*Sheet1!Y200</f>
        <v>11.168125</v>
      </c>
      <c r="Z200" s="3">
        <f>0.5*Sheet1!Z200</f>
        <v>1.9592499999999999</v>
      </c>
      <c r="AA200" s="3">
        <f>0.5*Sheet1!AA200</f>
        <v>0.54200000000000004</v>
      </c>
      <c r="AB200" s="3">
        <f>0.5*Sheet1!AB200</f>
        <v>1.2110000000000001</v>
      </c>
      <c r="AD200" s="3">
        <f t="shared" si="3"/>
        <v>114.29599999999998</v>
      </c>
    </row>
    <row r="201" spans="1:30" s="3" customFormat="1" ht="16" x14ac:dyDescent="0.2">
      <c r="A201" s="2">
        <v>44</v>
      </c>
      <c r="B201" s="2" t="s">
        <v>308</v>
      </c>
      <c r="C201" s="2" t="s">
        <v>309</v>
      </c>
      <c r="D201" s="2" t="s">
        <v>26</v>
      </c>
      <c r="F201" s="3">
        <f>0.75*Sheet1!F201</f>
        <v>6.889875</v>
      </c>
      <c r="G201" s="3">
        <f>1.25*Sheet1!G201</f>
        <v>10.645</v>
      </c>
      <c r="H201" s="3">
        <f>1.25*Sheet1!H201</f>
        <v>8.5487499999999876</v>
      </c>
      <c r="J201" s="3">
        <f>1.25*Sheet1!J201</f>
        <v>8.5487499999999876</v>
      </c>
      <c r="K201" s="3">
        <f>1.25*Sheet1!K201</f>
        <v>6.7287499999999998</v>
      </c>
      <c r="L201" s="3">
        <f>1.25*Sheet1!L201</f>
        <v>1.4837500000000001</v>
      </c>
      <c r="M201" s="3">
        <f>1.5*Sheet1!M201</f>
        <v>6.1544999999999996</v>
      </c>
      <c r="N201" s="3">
        <f>1.25*Sheet1!N201</f>
        <v>7.1020833333333258</v>
      </c>
      <c r="O201" s="3">
        <f>1.5*Sheet1!O201</f>
        <v>13.02975</v>
      </c>
      <c r="Q201" s="3">
        <f>1*Sheet1!Q201</f>
        <v>5.6816666666666604</v>
      </c>
      <c r="R201" s="3">
        <f>1.25*Sheet1!R201</f>
        <v>10.858125000000001</v>
      </c>
      <c r="S201" s="3">
        <f>1.5*Sheet1!S201</f>
        <v>13.478999999999985</v>
      </c>
      <c r="T201" s="3">
        <f>1.5*Sheet1!T201</f>
        <v>9.112999999999996</v>
      </c>
      <c r="U201" s="3">
        <f>0.75*Sheet1!U201</f>
        <v>1.8356249999999998</v>
      </c>
      <c r="V201" s="3">
        <f>0.75*Sheet1!V201</f>
        <v>2.5644374999999999</v>
      </c>
      <c r="W201" s="3">
        <f>0.75*Sheet1!W201</f>
        <v>2.6216249999999999</v>
      </c>
      <c r="Y201" s="3">
        <f>1.25*Sheet1!Y201</f>
        <v>12.047499999999999</v>
      </c>
      <c r="Z201" s="3">
        <f>0.5*Sheet1!Z201</f>
        <v>3.4797499999999948</v>
      </c>
      <c r="AA201" s="3">
        <f>0.5*Sheet1!AA201</f>
        <v>0.98374999999999502</v>
      </c>
      <c r="AB201" s="3">
        <f>0.5*Sheet1!AB201</f>
        <v>2.5362499999999999</v>
      </c>
      <c r="AD201" s="3">
        <f t="shared" si="3"/>
        <v>134.3319374999999</v>
      </c>
    </row>
    <row r="202" spans="1:30" s="3" customFormat="1" ht="16" x14ac:dyDescent="0.2">
      <c r="A202" s="2">
        <v>65</v>
      </c>
      <c r="B202" s="2" t="s">
        <v>310</v>
      </c>
      <c r="C202" s="2" t="s">
        <v>309</v>
      </c>
      <c r="D202" s="2" t="s">
        <v>26</v>
      </c>
      <c r="F202" s="3">
        <f>0.75*Sheet1!F202</f>
        <v>6.8737499999999994</v>
      </c>
      <c r="G202" s="3">
        <f>1.25*Sheet1!G202</f>
        <v>10.9925</v>
      </c>
      <c r="H202" s="3">
        <f>1.25*Sheet1!H202</f>
        <v>8.5487499999999876</v>
      </c>
      <c r="J202" s="3">
        <f>1.25*Sheet1!J202</f>
        <v>8.5487499999999876</v>
      </c>
      <c r="K202" s="3">
        <f>1.25*Sheet1!K202</f>
        <v>4.2618749999999874</v>
      </c>
      <c r="L202" s="3">
        <f>1.25*Sheet1!L202</f>
        <v>2.3737500000000002</v>
      </c>
      <c r="M202" s="3">
        <f>1.5*Sheet1!M202</f>
        <v>6.1544999999999996</v>
      </c>
      <c r="N202" s="3">
        <f>1.25*Sheet1!N202</f>
        <v>7.1020833333333258</v>
      </c>
      <c r="O202" s="3">
        <f>1.5*Sheet1!O202</f>
        <v>12.936</v>
      </c>
      <c r="Q202" s="3">
        <f>1*Sheet1!Q202</f>
        <v>5.6816666666666604</v>
      </c>
      <c r="R202" s="3">
        <f>1.25*Sheet1!R202</f>
        <v>10.780000000000001</v>
      </c>
      <c r="S202" s="3">
        <f>1.5*Sheet1!S202</f>
        <v>14.211749999999984</v>
      </c>
      <c r="T202" s="3">
        <f>1.5*Sheet1!T202</f>
        <v>9.6514999999999951</v>
      </c>
      <c r="U202" s="3">
        <f>0.75*Sheet1!U202</f>
        <v>1.8359999999999999</v>
      </c>
      <c r="V202" s="3">
        <f>0.75*Sheet1!V202</f>
        <v>4.8005624999999998</v>
      </c>
      <c r="W202" s="3">
        <f>0.75*Sheet1!W202</f>
        <v>1.3218749999999999</v>
      </c>
      <c r="Y202" s="3">
        <f>1.25*Sheet1!Y202</f>
        <v>10.831875</v>
      </c>
      <c r="Z202" s="3">
        <f>0.5*Sheet1!Z202</f>
        <v>1.31375</v>
      </c>
      <c r="AA202" s="3">
        <f>0.5*Sheet1!AA202</f>
        <v>2.1274999999999999</v>
      </c>
      <c r="AB202" s="3">
        <f>0.5*Sheet1!AB202</f>
        <v>2.9380000000000002</v>
      </c>
      <c r="AD202" s="3">
        <f t="shared" si="3"/>
        <v>133.28643749999992</v>
      </c>
    </row>
    <row r="203" spans="1:30" s="3" customFormat="1" ht="16" x14ac:dyDescent="0.2">
      <c r="A203" s="2">
        <v>163</v>
      </c>
      <c r="B203" s="2" t="s">
        <v>311</v>
      </c>
      <c r="C203" s="2" t="s">
        <v>312</v>
      </c>
      <c r="D203" s="2" t="s">
        <v>26</v>
      </c>
      <c r="F203" s="3">
        <f>0.75*Sheet1!F203</f>
        <v>4.9162499999999998</v>
      </c>
      <c r="G203" s="3">
        <f>1.25*Sheet1!G203</f>
        <v>10.123750000000001</v>
      </c>
      <c r="H203" s="3">
        <f>1.25*Sheet1!H203</f>
        <v>7.5212500000000002</v>
      </c>
      <c r="J203" s="3">
        <f>1.25*Sheet1!J203</f>
        <v>7.5212500000000002</v>
      </c>
      <c r="K203" s="3">
        <f>1.25*Sheet1!K203</f>
        <v>6.3162500000000001</v>
      </c>
      <c r="L203" s="3">
        <f>1.25*Sheet1!L203</f>
        <v>4.6312499999999872</v>
      </c>
      <c r="M203" s="3">
        <f>1.5*Sheet1!M203</f>
        <v>4.7220000000000004</v>
      </c>
      <c r="N203" s="3">
        <f>1.25*Sheet1!N203</f>
        <v>6.7333333333333245</v>
      </c>
      <c r="O203" s="3">
        <f>1.5*Sheet1!O203</f>
        <v>5.2125000000000004</v>
      </c>
      <c r="Q203" s="3">
        <f>1*Sheet1!Q203</f>
        <v>5.3866666666666596</v>
      </c>
      <c r="R203" s="3">
        <f>1.25*Sheet1!R203</f>
        <v>4.34375</v>
      </c>
      <c r="S203" s="3">
        <f>1.5*Sheet1!S203</f>
        <v>11.216999999999999</v>
      </c>
      <c r="T203" s="3">
        <f>1.5*Sheet1!T203</f>
        <v>7.1444999999999999</v>
      </c>
      <c r="U203" s="3">
        <f>0.75*Sheet1!U203</f>
        <v>3.4293749999999998</v>
      </c>
      <c r="V203" s="3">
        <f>0.75*Sheet1!V203</f>
        <v>3.9560624999999998</v>
      </c>
      <c r="W203" s="3">
        <f>0.75*Sheet1!W203</f>
        <v>6.7908749999999927</v>
      </c>
      <c r="Y203" s="3">
        <f>1.25*Sheet1!Y203</f>
        <v>8.2137499999999992</v>
      </c>
      <c r="Z203" s="3">
        <f>0.5*Sheet1!Z203</f>
        <v>4.437749999999995</v>
      </c>
      <c r="AA203" s="3">
        <f>0.5*Sheet1!AA203</f>
        <v>2.5449999999999999</v>
      </c>
      <c r="AB203" s="3">
        <f>0.5*Sheet1!AB203</f>
        <v>2.2731249999999998</v>
      </c>
      <c r="AD203" s="3">
        <f t="shared" si="3"/>
        <v>117.43568749999996</v>
      </c>
    </row>
    <row r="204" spans="1:30" s="3" customFormat="1" ht="32" x14ac:dyDescent="0.2">
      <c r="A204" s="2">
        <v>208</v>
      </c>
      <c r="B204" s="2" t="s">
        <v>313</v>
      </c>
      <c r="C204" s="2" t="s">
        <v>312</v>
      </c>
      <c r="D204" s="2" t="s">
        <v>26</v>
      </c>
      <c r="F204" s="3">
        <f>0.75*Sheet1!F204</f>
        <v>6.2703749999999996</v>
      </c>
      <c r="G204" s="3">
        <f>1.25*Sheet1!G204</f>
        <v>10.84125</v>
      </c>
      <c r="H204" s="3">
        <f>1.25*Sheet1!H204</f>
        <v>7.555625</v>
      </c>
      <c r="J204" s="3">
        <f>1.25*Sheet1!J204</f>
        <v>7.555625</v>
      </c>
      <c r="K204" s="3">
        <f>1.25*Sheet1!K204</f>
        <v>6.2281250000000004</v>
      </c>
      <c r="L204" s="3">
        <f>1.25*Sheet1!L204</f>
        <v>0</v>
      </c>
      <c r="M204" s="3">
        <f>1.5*Sheet1!M204</f>
        <v>4.7220000000000004</v>
      </c>
      <c r="N204" s="3">
        <f>1.25*Sheet1!N204</f>
        <v>6.9337499999999999</v>
      </c>
      <c r="O204" s="3">
        <f>1.5*Sheet1!O204</f>
        <v>6.5069999999999997</v>
      </c>
      <c r="Q204" s="3">
        <f>1*Sheet1!Q204</f>
        <v>5.5469999999999997</v>
      </c>
      <c r="R204" s="3">
        <f>1.25*Sheet1!R204</f>
        <v>5.4225000000000003</v>
      </c>
      <c r="S204" s="3">
        <f>1.5*Sheet1!S204</f>
        <v>11.689500000000001</v>
      </c>
      <c r="T204" s="3">
        <f>1.5*Sheet1!T204</f>
        <v>7.4279999999999848</v>
      </c>
      <c r="U204" s="3">
        <f>0.75*Sheet1!U204</f>
        <v>3.2115</v>
      </c>
      <c r="V204" s="3">
        <f>0.75*Sheet1!V204</f>
        <v>3.2431875000000003</v>
      </c>
      <c r="W204" s="3">
        <f>0.75*Sheet1!W204</f>
        <v>4.4103750000000002</v>
      </c>
      <c r="Y204" s="3">
        <f>1.25*Sheet1!Y204</f>
        <v>7.0531249999999996</v>
      </c>
      <c r="Z204" s="3">
        <f>0.5*Sheet1!Z204</f>
        <v>4.8267499999999997</v>
      </c>
      <c r="AA204" s="3">
        <f>0.5*Sheet1!AA204</f>
        <v>2.6924999999999999</v>
      </c>
      <c r="AB204" s="3">
        <f>0.5*Sheet1!AB204</f>
        <v>2.3129999999999948</v>
      </c>
      <c r="AD204" s="3">
        <f t="shared" si="3"/>
        <v>114.45118749999997</v>
      </c>
    </row>
    <row r="205" spans="1:30" s="3" customFormat="1" ht="16" x14ac:dyDescent="0.2">
      <c r="A205" s="2">
        <v>204</v>
      </c>
      <c r="B205" s="2" t="s">
        <v>314</v>
      </c>
      <c r="C205" s="2" t="s">
        <v>315</v>
      </c>
      <c r="D205" s="2" t="s">
        <v>16</v>
      </c>
      <c r="F205" s="3">
        <f>0.75*Sheet1!F205</f>
        <v>6.5223750000000003</v>
      </c>
      <c r="G205" s="3">
        <f>1.25*Sheet1!G205</f>
        <v>9.7575000000000003</v>
      </c>
      <c r="H205" s="3">
        <f>1.25*Sheet1!H205</f>
        <v>12.5</v>
      </c>
      <c r="J205" s="3">
        <f>1.25*Sheet1!J205</f>
        <v>12.5</v>
      </c>
      <c r="K205" s="3">
        <f>1.25*Sheet1!K205</f>
        <v>4.6143749999999999</v>
      </c>
      <c r="L205" s="3">
        <f>1.25*Sheet1!L205</f>
        <v>2.5274999999999999</v>
      </c>
      <c r="M205" s="3">
        <f>1.5*Sheet1!M205</f>
        <v>10.562999999999999</v>
      </c>
      <c r="N205" s="3">
        <f>1.25*Sheet1!N205</f>
        <v>7.6299999999999883</v>
      </c>
      <c r="O205" s="3">
        <f>1.5*Sheet1!O205</f>
        <v>4.3635000000000002</v>
      </c>
      <c r="Q205" s="3">
        <f>1*Sheet1!Q205</f>
        <v>6.1039999999999903</v>
      </c>
      <c r="R205" s="3">
        <f>1.25*Sheet1!R205</f>
        <v>3.6362499999999995</v>
      </c>
      <c r="S205" s="3">
        <f>1.5*Sheet1!S205</f>
        <v>11.374500000000001</v>
      </c>
      <c r="T205" s="3">
        <f>1.5*Sheet1!T205</f>
        <v>9.1284999999999901</v>
      </c>
      <c r="U205" s="3">
        <f>0.75*Sheet1!U205</f>
        <v>0.37762499999999999</v>
      </c>
      <c r="V205" s="3">
        <f>0.75*Sheet1!V205</f>
        <v>2.5134374999999998</v>
      </c>
      <c r="W205" s="3">
        <f>0.75*Sheet1!W205</f>
        <v>1.8453749999999924</v>
      </c>
      <c r="Y205" s="3">
        <f>1.25*Sheet1!Y205</f>
        <v>5.1624999999999996</v>
      </c>
      <c r="Z205" s="3">
        <f>0.5*Sheet1!Z205</f>
        <v>2.9217499999999998</v>
      </c>
      <c r="AA205" s="3">
        <f>0.5*Sheet1!AA205</f>
        <v>0.25</v>
      </c>
      <c r="AB205" s="3">
        <f>0.5*Sheet1!AB205</f>
        <v>2.3766250000000002</v>
      </c>
      <c r="AD205" s="3">
        <f t="shared" si="3"/>
        <v>116.66881249999994</v>
      </c>
    </row>
    <row r="206" spans="1:30" s="3" customFormat="1" ht="16" x14ac:dyDescent="0.2">
      <c r="A206" s="2">
        <v>22</v>
      </c>
      <c r="B206" s="2" t="s">
        <v>316</v>
      </c>
      <c r="C206" s="2" t="s">
        <v>317</v>
      </c>
      <c r="D206" s="2" t="s">
        <v>26</v>
      </c>
      <c r="F206" s="3">
        <f>0.75*Sheet1!F206</f>
        <v>6.9431250000000002</v>
      </c>
      <c r="G206" s="3">
        <f>1.25*Sheet1!G206</f>
        <v>10.682499999999999</v>
      </c>
      <c r="H206" s="3">
        <f>1.25*Sheet1!H206</f>
        <v>5.2081249999999999</v>
      </c>
      <c r="J206" s="3">
        <f>1.25*Sheet1!J206</f>
        <v>5.2081249999999999</v>
      </c>
      <c r="K206" s="3">
        <f>1.25*Sheet1!K206</f>
        <v>6.1368750000000007</v>
      </c>
      <c r="L206" s="3">
        <f>1.25*Sheet1!L206</f>
        <v>2.9162500000000002</v>
      </c>
      <c r="M206" s="3">
        <f>1.5*Sheet1!M206</f>
        <v>2.4569999999999999</v>
      </c>
      <c r="N206" s="3">
        <f>1.25*Sheet1!N206</f>
        <v>6.7299999999999871</v>
      </c>
      <c r="O206" s="3">
        <f>1.5*Sheet1!O206</f>
        <v>11.080499999999999</v>
      </c>
      <c r="Q206" s="3">
        <f>1*Sheet1!Q206</f>
        <v>5.3839999999999897</v>
      </c>
      <c r="R206" s="3">
        <f>1.25*Sheet1!R206</f>
        <v>9.2337499999999988</v>
      </c>
      <c r="S206" s="3">
        <f>1.5*Sheet1!S206</f>
        <v>10.049249999999999</v>
      </c>
      <c r="T206" s="3">
        <f>1.5*Sheet1!T206</f>
        <v>9.0154999999999959</v>
      </c>
      <c r="U206" s="3">
        <f>0.75*Sheet1!U206</f>
        <v>0.375</v>
      </c>
      <c r="V206" s="3">
        <f>0.75*Sheet1!V206</f>
        <v>3.6624375000000002</v>
      </c>
      <c r="W206" s="3">
        <f>0.75*Sheet1!W206</f>
        <v>1.6023749999999999</v>
      </c>
      <c r="Y206" s="3">
        <f>1.25*Sheet1!Y206</f>
        <v>4.8287500000000003</v>
      </c>
      <c r="Z206" s="3">
        <f>0.5*Sheet1!Z206</f>
        <v>3.2484999999999999</v>
      </c>
      <c r="AA206" s="3">
        <f>0.5*Sheet1!AA206</f>
        <v>2.5390000000000001</v>
      </c>
      <c r="AB206" s="3">
        <f>0.5*Sheet1!AB206</f>
        <v>2.7891249999999999</v>
      </c>
      <c r="AD206" s="3">
        <f t="shared" si="3"/>
        <v>110.09018749999998</v>
      </c>
    </row>
    <row r="207" spans="1:30" s="3" customFormat="1" ht="16" x14ac:dyDescent="0.2">
      <c r="A207" s="2">
        <v>226</v>
      </c>
      <c r="B207" s="2" t="s">
        <v>318</v>
      </c>
      <c r="C207" s="2" t="s">
        <v>319</v>
      </c>
      <c r="D207" s="2" t="s">
        <v>16</v>
      </c>
      <c r="F207" s="3">
        <f>0.75*Sheet1!F207</f>
        <v>1.3087499999999923</v>
      </c>
      <c r="G207" s="3">
        <f>1.25*Sheet1!G207</f>
        <v>4.3612500000000001</v>
      </c>
      <c r="H207" s="3">
        <f>1.25*Sheet1!H207</f>
        <v>12.44875</v>
      </c>
      <c r="J207" s="3">
        <f>1.25*Sheet1!J207</f>
        <v>12.44875</v>
      </c>
      <c r="K207" s="3">
        <f>1.25*Sheet1!K207</f>
        <v>11.37875</v>
      </c>
      <c r="L207" s="3">
        <f>1.25*Sheet1!L207</f>
        <v>10.87125</v>
      </c>
      <c r="M207" s="3">
        <f>1.5*Sheet1!M207</f>
        <v>11.217750000000001</v>
      </c>
      <c r="N207" s="3">
        <f>1.25*Sheet1!N207</f>
        <v>12.155833333333327</v>
      </c>
      <c r="O207" s="3">
        <f>1.5*Sheet1!O207</f>
        <v>9.7424999999999855</v>
      </c>
      <c r="Q207" s="3">
        <f>1*Sheet1!Q207</f>
        <v>9.7246666666666606</v>
      </c>
      <c r="R207" s="3">
        <f>1.25*Sheet1!R207</f>
        <v>8.1187499999999879</v>
      </c>
      <c r="S207" s="3">
        <f>1.5*Sheet1!S207</f>
        <v>14.957249999999984</v>
      </c>
      <c r="T207" s="3">
        <f>1.5*Sheet1!T207</f>
        <v>11.52399999999999</v>
      </c>
      <c r="U207" s="3">
        <f>0.75*Sheet1!U207</f>
        <v>6.1848749999999999</v>
      </c>
      <c r="V207" s="3">
        <f>0.75*Sheet1!V207</f>
        <v>5.9656874999999996</v>
      </c>
      <c r="W207" s="3">
        <f>0.75*Sheet1!W207</f>
        <v>2.2365000000000004</v>
      </c>
      <c r="Y207" s="3">
        <f>1.25*Sheet1!Y207</f>
        <v>10.55875</v>
      </c>
      <c r="Z207" s="3">
        <f>0.5*Sheet1!Z207</f>
        <v>3.7112499999999948</v>
      </c>
      <c r="AA207" s="3">
        <f>0.5*Sheet1!AA207</f>
        <v>2.9169999999999998</v>
      </c>
      <c r="AB207" s="3">
        <f>0.5*Sheet1!AB207</f>
        <v>2.713625</v>
      </c>
      <c r="AD207" s="3">
        <f t="shared" si="3"/>
        <v>164.54593749999998</v>
      </c>
    </row>
    <row r="208" spans="1:30" s="3" customFormat="1" ht="16" x14ac:dyDescent="0.2">
      <c r="A208" s="2">
        <v>38</v>
      </c>
      <c r="B208" s="2" t="s">
        <v>320</v>
      </c>
      <c r="C208" s="2" t="s">
        <v>321</v>
      </c>
      <c r="D208" s="2" t="s">
        <v>26</v>
      </c>
      <c r="F208" s="3">
        <f>0.75*Sheet1!F208</f>
        <v>5.905874999999992</v>
      </c>
      <c r="G208" s="3">
        <f>1.25*Sheet1!G208</f>
        <v>9.5225000000000009</v>
      </c>
      <c r="H208" s="3">
        <f>1.25*Sheet1!H208</f>
        <v>6.1712500000000006</v>
      </c>
      <c r="J208" s="3">
        <f>1.25*Sheet1!J208</f>
        <v>6.1712500000000006</v>
      </c>
      <c r="K208" s="3">
        <f>1.25*Sheet1!K208</f>
        <v>4.3587500000000006</v>
      </c>
      <c r="L208" s="3">
        <f>1.25*Sheet1!L208</f>
        <v>0</v>
      </c>
      <c r="M208" s="3">
        <f>1.5*Sheet1!M208</f>
        <v>6.7057500000000001</v>
      </c>
      <c r="N208" s="3">
        <f>1.25*Sheet1!N208</f>
        <v>7.7358333333333249</v>
      </c>
      <c r="O208" s="3">
        <f>1.5*Sheet1!O208</f>
        <v>9.6487499999999855</v>
      </c>
      <c r="Q208" s="3">
        <f>1*Sheet1!Q208</f>
        <v>6.1886666666666601</v>
      </c>
      <c r="R208" s="3">
        <f>1.25*Sheet1!R208</f>
        <v>8.0406249999999879</v>
      </c>
      <c r="S208" s="3">
        <f>1.5*Sheet1!S208</f>
        <v>12.927</v>
      </c>
      <c r="T208" s="3">
        <f>1.5*Sheet1!T208</f>
        <v>10.127999999999986</v>
      </c>
      <c r="U208" s="3">
        <f>0.75*Sheet1!U208</f>
        <v>2.473125</v>
      </c>
      <c r="V208" s="3">
        <f>0.75*Sheet1!V208</f>
        <v>4.6499999999999932</v>
      </c>
      <c r="W208" s="3">
        <f>0.75*Sheet1!W208</f>
        <v>3.6674999999999995</v>
      </c>
      <c r="Y208" s="3">
        <f>1.25*Sheet1!Y208</f>
        <v>5.7293750000000001</v>
      </c>
      <c r="Z208" s="3">
        <f>0.5*Sheet1!Z208</f>
        <v>3.093</v>
      </c>
      <c r="AA208" s="3">
        <f>0.5*Sheet1!AA208</f>
        <v>2.42875</v>
      </c>
      <c r="AB208" s="3">
        <f>0.5*Sheet1!AB208</f>
        <v>2.9057499999999998</v>
      </c>
      <c r="AD208" s="3">
        <f t="shared" si="3"/>
        <v>118.45174999999992</v>
      </c>
    </row>
    <row r="209" spans="1:30" s="3" customFormat="1" ht="16" x14ac:dyDescent="0.2">
      <c r="A209" s="2">
        <v>137</v>
      </c>
      <c r="B209" s="2" t="s">
        <v>322</v>
      </c>
      <c r="C209" s="2" t="s">
        <v>323</v>
      </c>
      <c r="D209" s="2" t="s">
        <v>26</v>
      </c>
      <c r="F209" s="3">
        <f>0.75*Sheet1!F209</f>
        <v>6.1605000000000008</v>
      </c>
      <c r="G209" s="3">
        <f>1.25*Sheet1!G209</f>
        <v>8.4362499999999994</v>
      </c>
      <c r="H209" s="3">
        <f>1.25*Sheet1!H209</f>
        <v>6.0124999999999993</v>
      </c>
      <c r="J209" s="3">
        <f>1.25*Sheet1!J209</f>
        <v>6.0124999999999993</v>
      </c>
      <c r="K209" s="3">
        <f>1.25*Sheet1!K209</f>
        <v>5.1100000000000003</v>
      </c>
      <c r="L209" s="3">
        <f>1.25*Sheet1!L209</f>
        <v>1.5375000000000001</v>
      </c>
      <c r="M209" s="3">
        <f>1.5*Sheet1!M209</f>
        <v>7.0807500000000001</v>
      </c>
      <c r="N209" s="3">
        <f>1.25*Sheet1!N209</f>
        <v>9.5958333333333243</v>
      </c>
      <c r="O209" s="3">
        <f>1.5*Sheet1!O209</f>
        <v>12.276</v>
      </c>
      <c r="Q209" s="3">
        <f>1*Sheet1!Q209</f>
        <v>7.6766666666666596</v>
      </c>
      <c r="R209" s="3">
        <f>1.25*Sheet1!R209</f>
        <v>10.229999999999999</v>
      </c>
      <c r="S209" s="3">
        <f>1.5*Sheet1!S209</f>
        <v>13.429499999999999</v>
      </c>
      <c r="T209" s="3">
        <f>1.5*Sheet1!T209</f>
        <v>11.50749999999999</v>
      </c>
      <c r="U209" s="3">
        <f>0.75*Sheet1!U209</f>
        <v>3.6389999999999922</v>
      </c>
      <c r="V209" s="3">
        <f>0.75*Sheet1!V209</f>
        <v>6.4963125000000002</v>
      </c>
      <c r="W209" s="3">
        <f>0.75*Sheet1!W209</f>
        <v>1.7197500000000001</v>
      </c>
      <c r="Y209" s="3">
        <f>1.25*Sheet1!Y209</f>
        <v>6.8618749999999995</v>
      </c>
      <c r="Z209" s="3">
        <f>0.5*Sheet1!Z209</f>
        <v>2.3994999999999949</v>
      </c>
      <c r="AA209" s="3">
        <f>0.5*Sheet1!AA209</f>
        <v>0.91125</v>
      </c>
      <c r="AB209" s="3">
        <f>0.5*Sheet1!AB209</f>
        <v>2.8493750000000002</v>
      </c>
      <c r="AD209" s="3">
        <f t="shared" si="3"/>
        <v>129.94256249999998</v>
      </c>
    </row>
    <row r="210" spans="1:30" s="3" customFormat="1" ht="16" x14ac:dyDescent="0.2">
      <c r="A210" s="2">
        <v>51</v>
      </c>
      <c r="B210" s="2" t="s">
        <v>324</v>
      </c>
      <c r="C210" s="2" t="s">
        <v>325</v>
      </c>
      <c r="D210" s="2" t="s">
        <v>103</v>
      </c>
      <c r="F210" s="3">
        <f>0.75*Sheet1!F210</f>
        <v>5.0726249999999995</v>
      </c>
      <c r="G210" s="3">
        <f>1.25*Sheet1!G210</f>
        <v>9.9437499999999996</v>
      </c>
      <c r="H210" s="3">
        <f>1.25*Sheet1!H210</f>
        <v>6.4387499999999998</v>
      </c>
      <c r="J210" s="3">
        <f>1.25*Sheet1!J210</f>
        <v>6.4387499999999998</v>
      </c>
      <c r="K210" s="3">
        <f>1.25*Sheet1!K210</f>
        <v>7.0137499999999999</v>
      </c>
      <c r="L210" s="3">
        <f>1.25*Sheet1!L210</f>
        <v>4.65625</v>
      </c>
      <c r="M210" s="3">
        <f>1.5*Sheet1!M210</f>
        <v>4.1519999999999992</v>
      </c>
      <c r="N210" s="3">
        <f>1.25*Sheet1!N210</f>
        <v>5.915</v>
      </c>
      <c r="O210" s="3">
        <f>1.5*Sheet1!O210</f>
        <v>5.4907500000000002</v>
      </c>
      <c r="Q210" s="3">
        <f>1*Sheet1!Q210</f>
        <v>4.7320000000000002</v>
      </c>
      <c r="R210" s="3">
        <f>1.25*Sheet1!R210</f>
        <v>4.5756249999999996</v>
      </c>
      <c r="S210" s="3">
        <f>1.5*Sheet1!S210</f>
        <v>7.9919999999999849</v>
      </c>
      <c r="T210" s="3">
        <f>1.5*Sheet1!T210</f>
        <v>6.5145</v>
      </c>
      <c r="U210" s="3">
        <f>0.75*Sheet1!U210</f>
        <v>0.670875</v>
      </c>
      <c r="V210" s="3">
        <f>0.75*Sheet1!V210</f>
        <v>4.9563750000000004</v>
      </c>
      <c r="W210" s="3">
        <f>0.75*Sheet1!W210</f>
        <v>1.6222499999999997</v>
      </c>
      <c r="Y210" s="3">
        <f>1.25*Sheet1!Y210</f>
        <v>7.015625</v>
      </c>
      <c r="Z210" s="3">
        <f>0.5*Sheet1!Z210</f>
        <v>2.3679999999999999</v>
      </c>
      <c r="AA210" s="3">
        <f>0.5*Sheet1!AA210</f>
        <v>3.3752499999999999</v>
      </c>
      <c r="AB210" s="3">
        <f>0.5*Sheet1!AB210</f>
        <v>1.9212499999999999</v>
      </c>
      <c r="AD210" s="3">
        <f t="shared" si="3"/>
        <v>100.86537499999996</v>
      </c>
    </row>
    <row r="211" spans="1:30" s="3" customFormat="1" ht="16" x14ac:dyDescent="0.2">
      <c r="A211" s="2">
        <v>116</v>
      </c>
      <c r="B211" s="2" t="s">
        <v>326</v>
      </c>
      <c r="C211" s="2" t="s">
        <v>325</v>
      </c>
      <c r="D211" s="2" t="s">
        <v>103</v>
      </c>
      <c r="F211" s="3">
        <f>0.75*Sheet1!F211</f>
        <v>6.0090000000000003</v>
      </c>
      <c r="G211" s="3">
        <f>1.25*Sheet1!G211</f>
        <v>9.46875</v>
      </c>
      <c r="H211" s="3">
        <f>1.25*Sheet1!H211</f>
        <v>6.4387499999999998</v>
      </c>
      <c r="J211" s="3">
        <f>1.25*Sheet1!J211</f>
        <v>6.4387499999999998</v>
      </c>
      <c r="K211" s="3">
        <f>1.25*Sheet1!K211</f>
        <v>6.1718749999999876</v>
      </c>
      <c r="L211" s="3">
        <f>1.25*Sheet1!L211</f>
        <v>1.8337500000000002</v>
      </c>
      <c r="M211" s="3">
        <f>1.5*Sheet1!M211</f>
        <v>4.1519999999999992</v>
      </c>
      <c r="N211" s="3">
        <f>1.25*Sheet1!N211</f>
        <v>5.915</v>
      </c>
      <c r="O211" s="3">
        <f>1.5*Sheet1!O211</f>
        <v>5.4907500000000002</v>
      </c>
      <c r="Q211" s="3">
        <f>1*Sheet1!Q211</f>
        <v>4.7320000000000002</v>
      </c>
      <c r="R211" s="3">
        <f>1.25*Sheet1!R211</f>
        <v>4.5756249999999996</v>
      </c>
      <c r="S211" s="3">
        <f>1.5*Sheet1!S211</f>
        <v>7.7482499999999996</v>
      </c>
      <c r="T211" s="3">
        <f>1.5*Sheet1!T211</f>
        <v>5.4729999999999901</v>
      </c>
      <c r="U211" s="3">
        <f>0.75*Sheet1!U211</f>
        <v>0.56887500000000002</v>
      </c>
      <c r="V211" s="3">
        <f>0.75*Sheet1!V211</f>
        <v>3.2441249999999999</v>
      </c>
      <c r="W211" s="3">
        <f>0.75*Sheet1!W211</f>
        <v>2.40225</v>
      </c>
      <c r="Y211" s="3">
        <f>1.25*Sheet1!Y211</f>
        <v>3.546875</v>
      </c>
      <c r="Z211" s="3">
        <f>0.5*Sheet1!Z211</f>
        <v>2.2007499999999949</v>
      </c>
      <c r="AA211" s="3">
        <f>0.5*Sheet1!AA211</f>
        <v>1.478</v>
      </c>
      <c r="AB211" s="3">
        <f>0.5*Sheet1!AB211</f>
        <v>1.957875</v>
      </c>
      <c r="AD211" s="3">
        <f t="shared" si="3"/>
        <v>89.846249999999969</v>
      </c>
    </row>
    <row r="212" spans="1:30" s="3" customFormat="1" ht="32" x14ac:dyDescent="0.2">
      <c r="A212" s="2">
        <v>55</v>
      </c>
      <c r="B212" s="2" t="s">
        <v>327</v>
      </c>
      <c r="C212" s="2" t="s">
        <v>328</v>
      </c>
      <c r="D212" s="2" t="s">
        <v>6</v>
      </c>
      <c r="F212" s="3">
        <f>0.75*Sheet1!F212</f>
        <v>3.4777499999999995</v>
      </c>
      <c r="G212" s="3">
        <f>1.25*Sheet1!G212</f>
        <v>4.4587500000000002</v>
      </c>
      <c r="H212" s="3">
        <f>1.25*Sheet1!H212</f>
        <v>5.0775000000000006</v>
      </c>
      <c r="J212" s="3">
        <f>1.25*Sheet1!J212</f>
        <v>5.0775000000000006</v>
      </c>
      <c r="K212" s="3">
        <f>1.25*Sheet1!K212</f>
        <v>6.15</v>
      </c>
      <c r="L212" s="3">
        <f>1.25*Sheet1!L212</f>
        <v>2.5137499999999999</v>
      </c>
      <c r="M212" s="3">
        <f>1.5*Sheet1!M212</f>
        <v>9.7717500000000008</v>
      </c>
      <c r="N212" s="3">
        <f>1.25*Sheet1!N212</f>
        <v>10.838749999999999</v>
      </c>
      <c r="O212" s="3">
        <f>1.5*Sheet1!O212</f>
        <v>8.6564999999999994</v>
      </c>
      <c r="Q212" s="3">
        <f>1*Sheet1!Q212</f>
        <v>8.6709999999999994</v>
      </c>
      <c r="R212" s="3">
        <f>1.25*Sheet1!R212</f>
        <v>7.2137500000000001</v>
      </c>
      <c r="S212" s="3">
        <f>1.5*Sheet1!S212</f>
        <v>7.5832500000000005</v>
      </c>
      <c r="T212" s="3">
        <f>1.5*Sheet1!T212</f>
        <v>10.16949999999999</v>
      </c>
      <c r="U212" s="3">
        <f>0.75*Sheet1!U212</f>
        <v>2.718375</v>
      </c>
      <c r="V212" s="3">
        <f>0.75*Sheet1!V212</f>
        <v>5.4569999999999999</v>
      </c>
      <c r="W212" s="3">
        <f>0.75*Sheet1!W212</f>
        <v>1.04925</v>
      </c>
      <c r="Y212" s="3">
        <f>1.25*Sheet1!Y212</f>
        <v>7.61625</v>
      </c>
      <c r="Z212" s="3">
        <f>0.5*Sheet1!Z212</f>
        <v>3.2974999999999999</v>
      </c>
      <c r="AA212" s="3">
        <f>0.5*Sheet1!AA212</f>
        <v>2.50475</v>
      </c>
      <c r="AB212" s="3">
        <f>0.5*Sheet1!AB212</f>
        <v>2.3103750000000001</v>
      </c>
      <c r="AD212" s="3">
        <f t="shared" si="3"/>
        <v>114.61324999999998</v>
      </c>
    </row>
    <row r="213" spans="1:30" s="3" customFormat="1" ht="16" x14ac:dyDescent="0.2">
      <c r="A213" s="2">
        <v>223</v>
      </c>
      <c r="B213" s="2" t="s">
        <v>329</v>
      </c>
      <c r="C213" s="2" t="s">
        <v>330</v>
      </c>
      <c r="D213" s="2" t="s">
        <v>16</v>
      </c>
      <c r="F213" s="3">
        <f>0.75*Sheet1!F213</f>
        <v>4.6068750000000005</v>
      </c>
      <c r="G213" s="3">
        <f>1.25*Sheet1!G213</f>
        <v>4.6224999999999996</v>
      </c>
      <c r="H213" s="3">
        <f>1.25*Sheet1!H213</f>
        <v>8.2593750000000004</v>
      </c>
      <c r="J213" s="3">
        <f>1.25*Sheet1!J213</f>
        <v>8.2593750000000004</v>
      </c>
      <c r="K213" s="3">
        <f>1.25*Sheet1!K213</f>
        <v>6.6043750000000001</v>
      </c>
      <c r="L213" s="3">
        <f>1.25*Sheet1!L213</f>
        <v>5.0824999999999996</v>
      </c>
      <c r="M213" s="3">
        <f>1.5*Sheet1!M213</f>
        <v>8.3414999999999999</v>
      </c>
      <c r="N213" s="3">
        <f>1.25*Sheet1!N213</f>
        <v>10.349166666666662</v>
      </c>
      <c r="O213" s="3">
        <f>1.5*Sheet1!O213</f>
        <v>6.726</v>
      </c>
      <c r="Q213" s="3">
        <f>1*Sheet1!Q213</f>
        <v>8.2793333333333301</v>
      </c>
      <c r="R213" s="3">
        <f>1.25*Sheet1!R213</f>
        <v>5.6050000000000004</v>
      </c>
      <c r="S213" s="3">
        <f>1.5*Sheet1!S213</f>
        <v>12.4575</v>
      </c>
      <c r="T213" s="3">
        <f>1.5*Sheet1!T213</f>
        <v>12.823499999999999</v>
      </c>
      <c r="U213" s="3">
        <f>0.75*Sheet1!U213</f>
        <v>5.1491249999999997</v>
      </c>
      <c r="V213" s="3">
        <f>0.75*Sheet1!V213</f>
        <v>5.0902500000000002</v>
      </c>
      <c r="W213" s="3">
        <f>0.75*Sheet1!W213</f>
        <v>4.616999999999992</v>
      </c>
      <c r="Y213" s="3">
        <f>1.25*Sheet1!Y213</f>
        <v>9.5462499999999988</v>
      </c>
      <c r="Z213" s="3">
        <f>0.5*Sheet1!Z213</f>
        <v>4.0999999999999996</v>
      </c>
      <c r="AA213" s="3">
        <f>0.5*Sheet1!AA213</f>
        <v>2.8879999999999999</v>
      </c>
      <c r="AB213" s="3">
        <f>0.5*Sheet1!AB213</f>
        <v>2.8594999999999948</v>
      </c>
      <c r="AD213" s="3">
        <f t="shared" si="3"/>
        <v>136.26712499999996</v>
      </c>
    </row>
    <row r="214" spans="1:30" s="3" customFormat="1" ht="16" x14ac:dyDescent="0.2">
      <c r="A214" s="2">
        <v>18</v>
      </c>
      <c r="B214" s="2" t="s">
        <v>331</v>
      </c>
      <c r="C214" s="2" t="s">
        <v>332</v>
      </c>
      <c r="D214" s="2" t="s">
        <v>26</v>
      </c>
      <c r="F214" s="3">
        <f>0.75*Sheet1!F214</f>
        <v>4.7422499999999923</v>
      </c>
      <c r="G214" s="3">
        <f>1.25*Sheet1!G214</f>
        <v>7.5924999999999994</v>
      </c>
      <c r="H214" s="3">
        <f>1.25*Sheet1!H214</f>
        <v>4.8674999999999997</v>
      </c>
      <c r="J214" s="3">
        <f>1.25*Sheet1!J214</f>
        <v>4.8674999999999997</v>
      </c>
      <c r="K214" s="3">
        <f>1.25*Sheet1!K214</f>
        <v>9.6981249999999992</v>
      </c>
      <c r="L214" s="3">
        <f>1.25*Sheet1!L214</f>
        <v>7.0687500000000005</v>
      </c>
      <c r="M214" s="3">
        <f>1.5*Sheet1!M214</f>
        <v>6.4440000000000008</v>
      </c>
      <c r="N214" s="3">
        <f>1.25*Sheet1!N214</f>
        <v>8.8995833333333252</v>
      </c>
      <c r="O214" s="3">
        <f>1.5*Sheet1!O214</f>
        <v>11.20725</v>
      </c>
      <c r="Q214" s="3">
        <f>1*Sheet1!Q214</f>
        <v>7.1196666666666601</v>
      </c>
      <c r="R214" s="3">
        <f>1.25*Sheet1!R214</f>
        <v>9.3393750000000004</v>
      </c>
      <c r="S214" s="3">
        <f>1.5*Sheet1!S214</f>
        <v>11.111249999999984</v>
      </c>
      <c r="T214" s="3">
        <f>1.5*Sheet1!T214</f>
        <v>12.604999999999997</v>
      </c>
      <c r="U214" s="3">
        <f>0.75*Sheet1!U214</f>
        <v>3.7717499999999999</v>
      </c>
      <c r="V214" s="3">
        <f>0.75*Sheet1!V214</f>
        <v>2.7491250000000003</v>
      </c>
      <c r="W214" s="3">
        <f>0.75*Sheet1!W214</f>
        <v>4.3544999999999998</v>
      </c>
      <c r="Y214" s="3">
        <f>1.25*Sheet1!Y214</f>
        <v>8.0849999999999884</v>
      </c>
      <c r="Z214" s="3">
        <f>0.5*Sheet1!Z214</f>
        <v>4.2957499999999946</v>
      </c>
      <c r="AA214" s="3">
        <f>0.5*Sheet1!AA214</f>
        <v>2.9139999999999948</v>
      </c>
      <c r="AB214" s="3">
        <f>0.5*Sheet1!AB214</f>
        <v>2.8496250000000001</v>
      </c>
      <c r="AD214" s="3">
        <f t="shared" si="3"/>
        <v>134.58249999999995</v>
      </c>
    </row>
    <row r="215" spans="1:30" s="3" customFormat="1" ht="16" x14ac:dyDescent="0.2">
      <c r="A215" s="2">
        <v>28</v>
      </c>
      <c r="B215" s="2" t="s">
        <v>333</v>
      </c>
      <c r="C215" s="2" t="s">
        <v>332</v>
      </c>
      <c r="D215" s="2" t="s">
        <v>26</v>
      </c>
      <c r="F215" s="3">
        <f>0.75*Sheet1!F215</f>
        <v>5.1660000000000004</v>
      </c>
      <c r="G215" s="3">
        <f>1.25*Sheet1!G215</f>
        <v>7.0474999999999994</v>
      </c>
      <c r="H215" s="3">
        <f>1.25*Sheet1!H215</f>
        <v>4.8674999999999997</v>
      </c>
      <c r="J215" s="3">
        <f>1.25*Sheet1!J215</f>
        <v>4.8674999999999997</v>
      </c>
      <c r="K215" s="3">
        <f>1.25*Sheet1!K215</f>
        <v>3.335</v>
      </c>
      <c r="L215" s="3">
        <f>1.25*Sheet1!L215</f>
        <v>0</v>
      </c>
      <c r="M215" s="3">
        <f>1.5*Sheet1!M215</f>
        <v>6.4440000000000008</v>
      </c>
      <c r="N215" s="3">
        <f>1.25*Sheet1!N215</f>
        <v>8.8995833333333252</v>
      </c>
      <c r="O215" s="3">
        <f>1.5*Sheet1!O215</f>
        <v>12.9945</v>
      </c>
      <c r="Q215" s="3">
        <f>1*Sheet1!Q215</f>
        <v>7.1196666666666601</v>
      </c>
      <c r="R215" s="3">
        <f>1.25*Sheet1!R215</f>
        <v>10.828749999999999</v>
      </c>
      <c r="S215" s="3">
        <f>1.5*Sheet1!S215</f>
        <v>13.17075</v>
      </c>
      <c r="T215" s="3">
        <f>1.5*Sheet1!T215</f>
        <v>13.980999999999991</v>
      </c>
      <c r="U215" s="3">
        <f>0.75*Sheet1!U215</f>
        <v>2.8192499999999998</v>
      </c>
      <c r="V215" s="3">
        <f>0.75*Sheet1!V215</f>
        <v>6.2459999999999996</v>
      </c>
      <c r="W215" s="3">
        <f>0.75*Sheet1!W215</f>
        <v>3.1301249999999996</v>
      </c>
      <c r="Y215" s="3">
        <f>1.25*Sheet1!Y215</f>
        <v>7.1950000000000003</v>
      </c>
      <c r="Z215" s="3">
        <f>0.5*Sheet1!Z215</f>
        <v>3.0069999999999948</v>
      </c>
      <c r="AA215" s="3">
        <f>0.5*Sheet1!AA215</f>
        <v>0.74050000000000005</v>
      </c>
      <c r="AB215" s="3">
        <f>0.5*Sheet1!AB215</f>
        <v>2.887375</v>
      </c>
      <c r="AD215" s="3">
        <f t="shared" si="3"/>
        <v>124.74699999999996</v>
      </c>
    </row>
    <row r="216" spans="1:30" s="3" customFormat="1" ht="32" x14ac:dyDescent="0.2">
      <c r="A216" s="2">
        <v>128</v>
      </c>
      <c r="B216" s="2" t="s">
        <v>334</v>
      </c>
      <c r="C216" s="2" t="s">
        <v>332</v>
      </c>
      <c r="D216" s="2" t="s">
        <v>26</v>
      </c>
      <c r="F216" s="3">
        <f>0.75*Sheet1!F216</f>
        <v>6.1739999999999995</v>
      </c>
      <c r="G216" s="3">
        <f>1.25*Sheet1!G216</f>
        <v>9.6462500000000002</v>
      </c>
      <c r="H216" s="3">
        <f>1.25*Sheet1!H216</f>
        <v>4.8674999999999997</v>
      </c>
      <c r="J216" s="3">
        <f>1.25*Sheet1!J216</f>
        <v>4.8674999999999997</v>
      </c>
      <c r="K216" s="3">
        <f>1.25*Sheet1!K216</f>
        <v>1.9793749999999999</v>
      </c>
      <c r="L216" s="3">
        <f>1.25*Sheet1!L216</f>
        <v>0</v>
      </c>
      <c r="M216" s="3">
        <f>1.5*Sheet1!M216</f>
        <v>6.4440000000000008</v>
      </c>
      <c r="N216" s="3">
        <f>1.25*Sheet1!N216</f>
        <v>8.8995833333333252</v>
      </c>
      <c r="O216" s="3">
        <f>1.5*Sheet1!O216</f>
        <v>14.577750000000002</v>
      </c>
      <c r="Q216" s="3">
        <f>1*Sheet1!Q216</f>
        <v>7.1196666666666601</v>
      </c>
      <c r="R216" s="3">
        <f>1.25*Sheet1!R216</f>
        <v>12.148125</v>
      </c>
      <c r="S216" s="3">
        <f>1.5*Sheet1!S216</f>
        <v>13.731750000000002</v>
      </c>
      <c r="T216" s="3">
        <f>1.5*Sheet1!T216</f>
        <v>13.821499999999997</v>
      </c>
      <c r="U216" s="3">
        <f>0.75*Sheet1!U216</f>
        <v>2.8192499999999998</v>
      </c>
      <c r="V216" s="3">
        <f>0.75*Sheet1!V216</f>
        <v>5.1453749999999925</v>
      </c>
      <c r="W216" s="3">
        <f>0.75*Sheet1!W216</f>
        <v>3.2426249999999928</v>
      </c>
      <c r="Y216" s="3">
        <f>1.25*Sheet1!Y216</f>
        <v>7.7443749999999998</v>
      </c>
      <c r="Z216" s="3">
        <f>0.5*Sheet1!Z216</f>
        <v>1.4072499999999999</v>
      </c>
      <c r="AA216" s="3">
        <f>0.5*Sheet1!AA216</f>
        <v>2.7687499999999998</v>
      </c>
      <c r="AB216" s="3">
        <f>0.5*Sheet1!AB216</f>
        <v>0</v>
      </c>
      <c r="AD216" s="3">
        <f t="shared" si="3"/>
        <v>127.40462499999998</v>
      </c>
    </row>
    <row r="217" spans="1:30" s="3" customFormat="1" ht="16" x14ac:dyDescent="0.2">
      <c r="A217" s="2">
        <v>145</v>
      </c>
      <c r="B217" s="2" t="s">
        <v>335</v>
      </c>
      <c r="C217" s="2" t="s">
        <v>332</v>
      </c>
      <c r="D217" s="2" t="s">
        <v>26</v>
      </c>
      <c r="F217" s="3">
        <f>0.75*Sheet1!F217</f>
        <v>4.8104999999999993</v>
      </c>
      <c r="G217" s="3">
        <f>1.25*Sheet1!G217</f>
        <v>7.8112499999999994</v>
      </c>
      <c r="H217" s="3">
        <f>1.25*Sheet1!H217</f>
        <v>4.8674999999999997</v>
      </c>
      <c r="J217" s="3">
        <f>1.25*Sheet1!J217</f>
        <v>4.8674999999999997</v>
      </c>
      <c r="K217" s="3">
        <f>1.25*Sheet1!K217</f>
        <v>0</v>
      </c>
      <c r="L217" s="3">
        <f>1.25*Sheet1!L217</f>
        <v>5.9874999999999998</v>
      </c>
      <c r="M217" s="3">
        <f>1.5*Sheet1!M217</f>
        <v>6.4440000000000008</v>
      </c>
      <c r="N217" s="3">
        <f>1.25*Sheet1!N217</f>
        <v>8.8995833333333252</v>
      </c>
      <c r="O217" s="3">
        <f>1.5*Sheet1!O217</f>
        <v>11.4975</v>
      </c>
      <c r="Q217" s="3">
        <f>1*Sheet1!Q217</f>
        <v>7.1196666666666601</v>
      </c>
      <c r="R217" s="3">
        <f>1.25*Sheet1!R217</f>
        <v>9.5812500000000007</v>
      </c>
      <c r="S217" s="3">
        <f>1.5*Sheet1!S217</f>
        <v>11.688750000000001</v>
      </c>
      <c r="T217" s="3">
        <f>1.5*Sheet1!T217</f>
        <v>13.374499999999996</v>
      </c>
      <c r="U217" s="3">
        <f>0.75*Sheet1!U217</f>
        <v>3.2186250000000003</v>
      </c>
      <c r="V217" s="3">
        <f>0.75*Sheet1!V217</f>
        <v>4.1741250000000001</v>
      </c>
      <c r="W217" s="3">
        <f>0.75*Sheet1!W217</f>
        <v>4.3916250000000003</v>
      </c>
      <c r="Y217" s="3">
        <f>1.25*Sheet1!Y217</f>
        <v>7.8012499999999996</v>
      </c>
      <c r="Z217" s="3">
        <f>0.5*Sheet1!Z217</f>
        <v>4.6689999999999996</v>
      </c>
      <c r="AA217" s="3">
        <f>0.5*Sheet1!AA217</f>
        <v>3.11</v>
      </c>
      <c r="AB217" s="3">
        <f>0.5*Sheet1!AB217</f>
        <v>2.6428750000000001</v>
      </c>
      <c r="AD217" s="3">
        <f t="shared" si="3"/>
        <v>126.95699999999999</v>
      </c>
    </row>
    <row r="218" spans="1:30" s="3" customFormat="1" ht="16" x14ac:dyDescent="0.2">
      <c r="A218" s="2">
        <v>146</v>
      </c>
      <c r="B218" s="2" t="s">
        <v>336</v>
      </c>
      <c r="C218" s="2" t="s">
        <v>332</v>
      </c>
      <c r="D218" s="2" t="s">
        <v>26</v>
      </c>
      <c r="F218" s="3">
        <f>0.75*Sheet1!F218</f>
        <v>6.0386250000000006</v>
      </c>
      <c r="G218" s="3">
        <f>1.25*Sheet1!G218</f>
        <v>9.21875</v>
      </c>
      <c r="H218" s="3">
        <f>1.25*Sheet1!H218</f>
        <v>4.8674999999999997</v>
      </c>
      <c r="J218" s="3">
        <f>1.25*Sheet1!J218</f>
        <v>4.8674999999999997</v>
      </c>
      <c r="K218" s="3">
        <f>1.25*Sheet1!K218</f>
        <v>3.0731250000000001</v>
      </c>
      <c r="L218" s="3">
        <f>1.25*Sheet1!L218</f>
        <v>0</v>
      </c>
      <c r="M218" s="3">
        <f>1.5*Sheet1!M218</f>
        <v>6.4440000000000008</v>
      </c>
      <c r="N218" s="3">
        <f>1.25*Sheet1!N218</f>
        <v>8.8995833333333252</v>
      </c>
      <c r="O218" s="3">
        <f>1.5*Sheet1!O218</f>
        <v>11.25075</v>
      </c>
      <c r="Q218" s="3">
        <f>1*Sheet1!Q218</f>
        <v>7.1196666666666601</v>
      </c>
      <c r="R218" s="3">
        <f>1.25*Sheet1!R218</f>
        <v>9.3756249999999994</v>
      </c>
      <c r="S218" s="3">
        <f>1.5*Sheet1!S218</f>
        <v>11.5395</v>
      </c>
      <c r="T218" s="3">
        <f>1.5*Sheet1!T218</f>
        <v>12.983499999999989</v>
      </c>
      <c r="U218" s="3">
        <f>0.75*Sheet1!U218</f>
        <v>2.8192499999999998</v>
      </c>
      <c r="V218" s="3">
        <f>0.75*Sheet1!V218</f>
        <v>6.0811875000000004</v>
      </c>
      <c r="W218" s="3">
        <f>0.75*Sheet1!W218</f>
        <v>3.270375</v>
      </c>
      <c r="Y218" s="3">
        <f>1.25*Sheet1!Y218</f>
        <v>7.7368749999999995</v>
      </c>
      <c r="Z218" s="3">
        <f>0.5*Sheet1!Z218</f>
        <v>3.1945000000000001</v>
      </c>
      <c r="AA218" s="3">
        <f>0.5*Sheet1!AA218</f>
        <v>2.8919999999999999</v>
      </c>
      <c r="AB218" s="3">
        <f>0.5*Sheet1!AB218</f>
        <v>2.891375</v>
      </c>
      <c r="AD218" s="3">
        <f t="shared" si="3"/>
        <v>124.56368749999997</v>
      </c>
    </row>
    <row r="219" spans="1:30" s="3" customFormat="1" ht="16" x14ac:dyDescent="0.2">
      <c r="A219" s="2">
        <v>224</v>
      </c>
      <c r="B219" s="2" t="s">
        <v>337</v>
      </c>
      <c r="C219" s="2" t="s">
        <v>332</v>
      </c>
      <c r="D219" s="2" t="s">
        <v>26</v>
      </c>
      <c r="F219" s="3">
        <f>0.75*Sheet1!F219</f>
        <v>6.0716249999999992</v>
      </c>
      <c r="G219" s="3">
        <f>1.25*Sheet1!G219</f>
        <v>8.7012499999999999</v>
      </c>
      <c r="H219" s="3">
        <f>1.25*Sheet1!H219</f>
        <v>4.8674999999999997</v>
      </c>
      <c r="J219" s="3">
        <f>1.25*Sheet1!J219</f>
        <v>4.8674999999999997</v>
      </c>
      <c r="K219" s="3">
        <f>1.25*Sheet1!K219</f>
        <v>1.434375</v>
      </c>
      <c r="L219" s="3">
        <f>1.25*Sheet1!L219</f>
        <v>0</v>
      </c>
      <c r="M219" s="3">
        <f>1.5*Sheet1!M219</f>
        <v>6.4440000000000008</v>
      </c>
      <c r="N219" s="3">
        <f>1.25*Sheet1!N219</f>
        <v>8.8995833333333252</v>
      </c>
      <c r="O219" s="3">
        <f>1.5*Sheet1!O219</f>
        <v>13.897500000000001</v>
      </c>
      <c r="Q219" s="3">
        <f>1*Sheet1!Q219</f>
        <v>7.1196666666666601</v>
      </c>
      <c r="R219" s="3">
        <f>1.25*Sheet1!R219</f>
        <v>11.581250000000001</v>
      </c>
      <c r="S219" s="3">
        <f>1.5*Sheet1!S219</f>
        <v>13.394249999999985</v>
      </c>
      <c r="T219" s="3">
        <f>1.5*Sheet1!T219</f>
        <v>12.331999999999995</v>
      </c>
      <c r="U219" s="3">
        <f>0.75*Sheet1!U219</f>
        <v>3.1946250000000003</v>
      </c>
      <c r="V219" s="3">
        <f>0.75*Sheet1!V219</f>
        <v>5.415562499999993</v>
      </c>
      <c r="W219" s="3">
        <f>0.75*Sheet1!W219</f>
        <v>2.6077499999999998</v>
      </c>
      <c r="Y219" s="3">
        <f>1.25*Sheet1!Y219</f>
        <v>7.7368749999999995</v>
      </c>
      <c r="Z219" s="3">
        <f>0.5*Sheet1!Z219</f>
        <v>3.7080000000000002</v>
      </c>
      <c r="AA219" s="3">
        <f>0.5*Sheet1!AA219</f>
        <v>1.5165</v>
      </c>
      <c r="AB219" s="3">
        <f>0.5*Sheet1!AB219</f>
        <v>2.7835000000000001</v>
      </c>
      <c r="AD219" s="3">
        <f t="shared" si="3"/>
        <v>126.57331249999994</v>
      </c>
    </row>
    <row r="220" spans="1:30" s="3" customFormat="1" ht="16" x14ac:dyDescent="0.2">
      <c r="A220" s="2">
        <v>252</v>
      </c>
      <c r="B220" s="2" t="s">
        <v>338</v>
      </c>
      <c r="C220" s="2" t="s">
        <v>332</v>
      </c>
      <c r="D220" s="2" t="s">
        <v>26</v>
      </c>
      <c r="F220" s="3">
        <f>0.75*Sheet1!F220</f>
        <v>6.1016250000000003</v>
      </c>
      <c r="G220" s="3">
        <f>1.25*Sheet1!G220</f>
        <v>8.59</v>
      </c>
      <c r="H220" s="3">
        <f>1.25*Sheet1!H220</f>
        <v>4.8674999999999997</v>
      </c>
      <c r="J220" s="3">
        <f>1.25*Sheet1!J220</f>
        <v>4.8674999999999997</v>
      </c>
      <c r="K220" s="3">
        <f>1.25*Sheet1!K220</f>
        <v>2.1837499999999874</v>
      </c>
      <c r="L220" s="3">
        <f>1.25*Sheet1!L220</f>
        <v>3.2287499999999874</v>
      </c>
      <c r="M220" s="3">
        <f>1.5*Sheet1!M220</f>
        <v>6.4440000000000008</v>
      </c>
      <c r="N220" s="3">
        <f>1.25*Sheet1!N220</f>
        <v>8.8995833333333252</v>
      </c>
      <c r="O220" s="3">
        <f>1.5*Sheet1!O220</f>
        <v>11.9025</v>
      </c>
      <c r="Q220" s="3">
        <f>1*Sheet1!Q220</f>
        <v>7.1196666666666601</v>
      </c>
      <c r="R220" s="3">
        <f>1.25*Sheet1!R220</f>
        <v>9.9187499999999993</v>
      </c>
      <c r="S220" s="3">
        <f>1.5*Sheet1!S220</f>
        <v>11.679749999999986</v>
      </c>
      <c r="T220" s="3">
        <f>1.5*Sheet1!T220</f>
        <v>13.328499999999991</v>
      </c>
      <c r="U220" s="3">
        <f>0.75*Sheet1!U220</f>
        <v>3.1995</v>
      </c>
      <c r="V220" s="3">
        <f>0.75*Sheet1!V220</f>
        <v>4.4566874999999992</v>
      </c>
      <c r="W220" s="3">
        <f>0.75*Sheet1!W220</f>
        <v>2.613</v>
      </c>
      <c r="Y220" s="3">
        <f>1.25*Sheet1!Y220</f>
        <v>11.425000000000001</v>
      </c>
      <c r="Z220" s="3">
        <f>0.5*Sheet1!Z220</f>
        <v>3.5390000000000001</v>
      </c>
      <c r="AA220" s="3">
        <f>0.5*Sheet1!AA220</f>
        <v>3.1657500000000001</v>
      </c>
      <c r="AB220" s="3">
        <f>0.5*Sheet1!AB220</f>
        <v>2.9045000000000001</v>
      </c>
      <c r="AD220" s="3">
        <f t="shared" si="3"/>
        <v>130.43531249999995</v>
      </c>
    </row>
    <row r="221" spans="1:30" s="3" customFormat="1" ht="16" x14ac:dyDescent="0.2">
      <c r="A221" s="2">
        <v>97</v>
      </c>
      <c r="B221" s="2" t="s">
        <v>339</v>
      </c>
      <c r="C221" s="2" t="s">
        <v>340</v>
      </c>
      <c r="D221" s="2" t="s">
        <v>26</v>
      </c>
      <c r="F221" s="3">
        <f>0.75*Sheet1!F221</f>
        <v>5.0437499999999993</v>
      </c>
      <c r="G221" s="3">
        <f>1.25*Sheet1!G221</f>
        <v>6.3075000000000001</v>
      </c>
      <c r="H221" s="3">
        <f>1.25*Sheet1!H221</f>
        <v>3.4368749999999997</v>
      </c>
      <c r="J221" s="3">
        <f>1.25*Sheet1!J221</f>
        <v>3.4368749999999997</v>
      </c>
      <c r="K221" s="3">
        <f>1.25*Sheet1!K221</f>
        <v>3.9106249999999996</v>
      </c>
      <c r="L221" s="3">
        <f>1.25*Sheet1!L221</f>
        <v>4.65625</v>
      </c>
      <c r="M221" s="3">
        <f>1.5*Sheet1!M221</f>
        <v>8.5417499999999844</v>
      </c>
      <c r="N221" s="3">
        <f>1.25*Sheet1!N221</f>
        <v>11.961249999999987</v>
      </c>
      <c r="O221" s="3">
        <f>1.5*Sheet1!O221</f>
        <v>9.5467499999999994</v>
      </c>
      <c r="Q221" s="3">
        <f>1*Sheet1!Q221</f>
        <v>9.5689999999999902</v>
      </c>
      <c r="R221" s="3">
        <f>1.25*Sheet1!R221</f>
        <v>7.9556249999999995</v>
      </c>
      <c r="S221" s="3">
        <f>1.5*Sheet1!S221</f>
        <v>10.944000000000001</v>
      </c>
      <c r="T221" s="3">
        <f>1.5*Sheet1!T221</f>
        <v>12.152499999999989</v>
      </c>
      <c r="U221" s="3">
        <f>0.75*Sheet1!U221</f>
        <v>3.5831249999999999</v>
      </c>
      <c r="V221" s="3">
        <f>0.75*Sheet1!V221</f>
        <v>6.4423124999999999</v>
      </c>
      <c r="W221" s="3">
        <f>0.75*Sheet1!W221</f>
        <v>2.7431249999999925</v>
      </c>
      <c r="Y221" s="3">
        <f>1.25*Sheet1!Y221</f>
        <v>7.7406249999999996</v>
      </c>
      <c r="Z221" s="3">
        <f>0.5*Sheet1!Z221</f>
        <v>2.0022500000000001</v>
      </c>
      <c r="AA221" s="3">
        <f>0.5*Sheet1!AA221</f>
        <v>2.2842500000000001</v>
      </c>
      <c r="AB221" s="3">
        <f>0.5*Sheet1!AB221</f>
        <v>2.984375</v>
      </c>
      <c r="AD221" s="3">
        <f t="shared" si="3"/>
        <v>125.24281249999993</v>
      </c>
    </row>
    <row r="222" spans="1:30" s="3" customFormat="1" ht="16" x14ac:dyDescent="0.2">
      <c r="A222" s="2">
        <v>147</v>
      </c>
      <c r="B222" s="2" t="s">
        <v>341</v>
      </c>
      <c r="C222" s="2" t="s">
        <v>340</v>
      </c>
      <c r="D222" s="2" t="s">
        <v>26</v>
      </c>
      <c r="F222" s="3">
        <f>0.75*Sheet1!F222</f>
        <v>5.4472500000000004</v>
      </c>
      <c r="G222" s="3">
        <f>1.25*Sheet1!G222</f>
        <v>6.9625000000000004</v>
      </c>
      <c r="H222" s="3">
        <f>1.25*Sheet1!H222</f>
        <v>3.4368749999999997</v>
      </c>
      <c r="J222" s="3">
        <f>1.25*Sheet1!J222</f>
        <v>3.4368749999999997</v>
      </c>
      <c r="K222" s="3">
        <f>1.25*Sheet1!K222</f>
        <v>4.556249999999987</v>
      </c>
      <c r="L222" s="3">
        <f>1.25*Sheet1!L222</f>
        <v>3.3537499999999998</v>
      </c>
      <c r="M222" s="3">
        <f>1.5*Sheet1!M222</f>
        <v>8.5417499999999844</v>
      </c>
      <c r="N222" s="3">
        <f>1.25*Sheet1!N222</f>
        <v>11.961249999999987</v>
      </c>
      <c r="O222" s="3">
        <f>1.5*Sheet1!O222</f>
        <v>7.9560000000000004</v>
      </c>
      <c r="Q222" s="3">
        <f>1*Sheet1!Q222</f>
        <v>9.5689999999999902</v>
      </c>
      <c r="R222" s="3">
        <f>1.25*Sheet1!R222</f>
        <v>6.6300000000000008</v>
      </c>
      <c r="S222" s="3">
        <f>1.5*Sheet1!S222</f>
        <v>9.8970000000000002</v>
      </c>
      <c r="T222" s="3">
        <f>1.5*Sheet1!T222</f>
        <v>12.3225</v>
      </c>
      <c r="U222" s="3">
        <f>0.75*Sheet1!U222</f>
        <v>2.9197499999999996</v>
      </c>
      <c r="V222" s="3">
        <f>0.75*Sheet1!V222</f>
        <v>6.9041250000000005</v>
      </c>
      <c r="W222" s="3">
        <f>0.75*Sheet1!W222</f>
        <v>3.5756250000000001</v>
      </c>
      <c r="Y222" s="3">
        <f>1.25*Sheet1!Y222</f>
        <v>10.274999999999988</v>
      </c>
      <c r="Z222" s="3">
        <f>0.5*Sheet1!Z222</f>
        <v>1.17225</v>
      </c>
      <c r="AA222" s="3">
        <f>0.5*Sheet1!AA222</f>
        <v>2.262</v>
      </c>
      <c r="AB222" s="3">
        <f>0.5*Sheet1!AB222</f>
        <v>2.823375</v>
      </c>
      <c r="AD222" s="3">
        <f t="shared" si="3"/>
        <v>124.00312499999995</v>
      </c>
    </row>
    <row r="223" spans="1:30" s="3" customFormat="1" ht="16" x14ac:dyDescent="0.2">
      <c r="A223" s="2">
        <v>230</v>
      </c>
      <c r="B223" s="2" t="s">
        <v>342</v>
      </c>
      <c r="C223" s="2" t="s">
        <v>340</v>
      </c>
      <c r="D223" s="2" t="s">
        <v>26</v>
      </c>
      <c r="F223" s="3">
        <f>0.75*Sheet1!F223</f>
        <v>3.6487500000000002</v>
      </c>
      <c r="G223" s="3">
        <f>1.25*Sheet1!G223</f>
        <v>5.45</v>
      </c>
      <c r="H223" s="3">
        <f>1.25*Sheet1!H223</f>
        <v>3.4368749999999997</v>
      </c>
      <c r="J223" s="3">
        <f>1.25*Sheet1!J223</f>
        <v>3.4368749999999997</v>
      </c>
      <c r="K223" s="3">
        <f>1.25*Sheet1!K223</f>
        <v>7.8337500000000002</v>
      </c>
      <c r="L223" s="3">
        <f>1.25*Sheet1!L223</f>
        <v>7.7862499999999999</v>
      </c>
      <c r="M223" s="3">
        <f>1.5*Sheet1!M223</f>
        <v>8.5417499999999844</v>
      </c>
      <c r="N223" s="3">
        <f>1.25*Sheet1!N223</f>
        <v>11.961249999999987</v>
      </c>
      <c r="O223" s="3">
        <f>1.5*Sheet1!O223</f>
        <v>8.57925</v>
      </c>
      <c r="Q223" s="3">
        <f>1*Sheet1!Q223</f>
        <v>9.5689999999999902</v>
      </c>
      <c r="R223" s="3">
        <f>1.25*Sheet1!R223</f>
        <v>7.149375</v>
      </c>
      <c r="S223" s="3">
        <f>1.5*Sheet1!S223</f>
        <v>10.329750000000001</v>
      </c>
      <c r="T223" s="3">
        <f>1.5*Sheet1!T223</f>
        <v>12.058999999999994</v>
      </c>
      <c r="U223" s="3">
        <f>0.75*Sheet1!U223</f>
        <v>5.0006250000000003</v>
      </c>
      <c r="V223" s="3">
        <f>0.75*Sheet1!V223</f>
        <v>6.7438124999999998</v>
      </c>
      <c r="W223" s="3">
        <f>0.75*Sheet1!W223</f>
        <v>4.6691250000000002</v>
      </c>
      <c r="Y223" s="3">
        <f>1.25*Sheet1!Y223</f>
        <v>9.5168750000000006</v>
      </c>
      <c r="Z223" s="3">
        <f>0.5*Sheet1!Z223</f>
        <v>3.3987499999999948</v>
      </c>
      <c r="AA223" s="3">
        <f>0.5*Sheet1!AA223</f>
        <v>2.2469999999999999</v>
      </c>
      <c r="AB223" s="3">
        <f>0.5*Sheet1!AB223</f>
        <v>2.8427500000000001</v>
      </c>
      <c r="AD223" s="3">
        <f t="shared" si="3"/>
        <v>134.20081249999996</v>
      </c>
    </row>
    <row r="224" spans="1:30" s="3" customFormat="1" ht="16" x14ac:dyDescent="0.2">
      <c r="A224" s="2">
        <v>250</v>
      </c>
      <c r="B224" s="2" t="s">
        <v>343</v>
      </c>
      <c r="C224" s="2" t="s">
        <v>340</v>
      </c>
      <c r="D224" s="2" t="s">
        <v>26</v>
      </c>
      <c r="F224" s="3">
        <f>0.75*Sheet1!F224</f>
        <v>5.37</v>
      </c>
      <c r="G224" s="3">
        <f>1.25*Sheet1!G224</f>
        <v>6.8025000000000002</v>
      </c>
      <c r="H224" s="3">
        <f>1.25*Sheet1!H224</f>
        <v>3.4368749999999997</v>
      </c>
      <c r="J224" s="3">
        <f>1.25*Sheet1!J224</f>
        <v>3.4368749999999997</v>
      </c>
      <c r="K224" s="3">
        <f>1.25*Sheet1!K224</f>
        <v>1.785625</v>
      </c>
      <c r="L224" s="3">
        <f>1.25*Sheet1!L224</f>
        <v>0</v>
      </c>
      <c r="M224" s="3">
        <f>1.5*Sheet1!M224</f>
        <v>8.5417499999999844</v>
      </c>
      <c r="N224" s="3">
        <f>1.25*Sheet1!N224</f>
        <v>11.961249999999987</v>
      </c>
      <c r="O224" s="3">
        <f>1.5*Sheet1!O224</f>
        <v>10.425750000000001</v>
      </c>
      <c r="Q224" s="3">
        <f>1*Sheet1!Q224</f>
        <v>9.5689999999999902</v>
      </c>
      <c r="R224" s="3">
        <f>1.25*Sheet1!R224</f>
        <v>8.6881249999999994</v>
      </c>
      <c r="S224" s="3">
        <f>1.5*Sheet1!S224</f>
        <v>11.774999999999999</v>
      </c>
      <c r="T224" s="3">
        <f>1.5*Sheet1!T224</f>
        <v>12.228999999999989</v>
      </c>
      <c r="U224" s="3">
        <f>0.75*Sheet1!U224</f>
        <v>3.9033749999999925</v>
      </c>
      <c r="V224" s="3">
        <f>0.75*Sheet1!V224</f>
        <v>6.4361250000000005</v>
      </c>
      <c r="W224" s="3">
        <f>0.75*Sheet1!W224</f>
        <v>3.561375</v>
      </c>
      <c r="Y224" s="3">
        <f>1.25*Sheet1!Y224</f>
        <v>7.3174999999999999</v>
      </c>
      <c r="Z224" s="3">
        <f>0.5*Sheet1!Z224</f>
        <v>1.7135</v>
      </c>
      <c r="AA224" s="3">
        <f>0.5*Sheet1!AA224</f>
        <v>1.73325</v>
      </c>
      <c r="AB224" s="3">
        <f>0.5*Sheet1!AB224</f>
        <v>2.9874999999999998</v>
      </c>
      <c r="AD224" s="3">
        <f t="shared" si="3"/>
        <v>121.67437499999993</v>
      </c>
    </row>
    <row r="225" spans="1:30" s="3" customFormat="1" ht="16" x14ac:dyDescent="0.2">
      <c r="A225" s="2">
        <v>27</v>
      </c>
      <c r="B225" s="2" t="s">
        <v>344</v>
      </c>
      <c r="C225" s="2" t="s">
        <v>345</v>
      </c>
      <c r="D225" s="2" t="s">
        <v>26</v>
      </c>
      <c r="F225" s="3">
        <f>0.75*Sheet1!F225</f>
        <v>3.6918750000000005</v>
      </c>
      <c r="G225" s="3">
        <f>1.25*Sheet1!G225</f>
        <v>1.25</v>
      </c>
      <c r="H225" s="3">
        <f>1.25*Sheet1!H225</f>
        <v>8.0356249999999996</v>
      </c>
      <c r="J225" s="3">
        <f>1.25*Sheet1!J225</f>
        <v>8.0356249999999996</v>
      </c>
      <c r="K225" s="3">
        <f>1.25*Sheet1!K225</f>
        <v>3.359375</v>
      </c>
      <c r="L225" s="3">
        <f>1.25*Sheet1!L225</f>
        <v>0</v>
      </c>
      <c r="M225" s="3">
        <f>1.5*Sheet1!M225</f>
        <v>9.8279999999999994</v>
      </c>
      <c r="N225" s="3">
        <f>1.25*Sheet1!N225</f>
        <v>11.11</v>
      </c>
      <c r="O225" s="3">
        <f>1.5*Sheet1!O225</f>
        <v>12.883500000000002</v>
      </c>
      <c r="Q225" s="3">
        <f>1*Sheet1!Q225</f>
        <v>8.8879999999999999</v>
      </c>
      <c r="R225" s="3">
        <f>1.25*Sheet1!R225</f>
        <v>10.73625</v>
      </c>
      <c r="S225" s="3">
        <f>1.5*Sheet1!S225</f>
        <v>13.899000000000001</v>
      </c>
      <c r="T225" s="3">
        <f>1.5*Sheet1!T225</f>
        <v>11.280499999999995</v>
      </c>
      <c r="U225" s="3">
        <f>0.75*Sheet1!U225</f>
        <v>4.0091249999999921</v>
      </c>
      <c r="V225" s="3">
        <f>0.75*Sheet1!V225</f>
        <v>6.9333749999999998</v>
      </c>
      <c r="W225" s="3">
        <f>0.75*Sheet1!W225</f>
        <v>3.9476249999999995</v>
      </c>
      <c r="Y225" s="3">
        <f>1.25*Sheet1!Y225</f>
        <v>7.6431249999999995</v>
      </c>
      <c r="Z225" s="3">
        <f>0.5*Sheet1!Z225</f>
        <v>2.1225000000000001</v>
      </c>
      <c r="AA225" s="3">
        <f>0.5*Sheet1!AA225</f>
        <v>1.06125</v>
      </c>
      <c r="AB225" s="3">
        <f>0.5*Sheet1!AB225</f>
        <v>2.598875</v>
      </c>
      <c r="AD225" s="3">
        <f t="shared" si="3"/>
        <v>131.31362499999997</v>
      </c>
    </row>
    <row r="226" spans="1:30" s="3" customFormat="1" ht="16" x14ac:dyDescent="0.2">
      <c r="A226" s="2">
        <v>94</v>
      </c>
      <c r="B226" s="2" t="s">
        <v>346</v>
      </c>
      <c r="C226" s="2" t="s">
        <v>345</v>
      </c>
      <c r="D226" s="2" t="s">
        <v>26</v>
      </c>
      <c r="F226" s="3">
        <f>0.75*Sheet1!F226</f>
        <v>0.80812499999999998</v>
      </c>
      <c r="G226" s="3">
        <f>1.25*Sheet1!G226</f>
        <v>1.25</v>
      </c>
      <c r="H226" s="3">
        <f>1.25*Sheet1!H226</f>
        <v>8.0356249999999996</v>
      </c>
      <c r="J226" s="3">
        <f>1.25*Sheet1!J226</f>
        <v>8.0356249999999996</v>
      </c>
      <c r="K226" s="3">
        <f>1.25*Sheet1!K226</f>
        <v>5.8650000000000002</v>
      </c>
      <c r="L226" s="3">
        <f>1.25*Sheet1!L226</f>
        <v>3.8612500000000001</v>
      </c>
      <c r="M226" s="3">
        <f>1.5*Sheet1!M226</f>
        <v>9.8279999999999994</v>
      </c>
      <c r="N226" s="3">
        <f>1.25*Sheet1!N226</f>
        <v>11.11</v>
      </c>
      <c r="O226" s="3">
        <f>1.5*Sheet1!O226</f>
        <v>12.93075</v>
      </c>
      <c r="Q226" s="3">
        <f>1*Sheet1!Q226</f>
        <v>8.8879999999999999</v>
      </c>
      <c r="R226" s="3">
        <f>1.25*Sheet1!R226</f>
        <v>10.775625</v>
      </c>
      <c r="S226" s="3">
        <f>1.5*Sheet1!S226</f>
        <v>12.640499999999999</v>
      </c>
      <c r="T226" s="3">
        <f>1.5*Sheet1!T226</f>
        <v>11.1645</v>
      </c>
      <c r="U226" s="3">
        <f>0.75*Sheet1!U226</f>
        <v>3.8895</v>
      </c>
      <c r="V226" s="3">
        <f>0.75*Sheet1!V226</f>
        <v>6.4513124999999993</v>
      </c>
      <c r="W226" s="3">
        <f>0.75*Sheet1!W226</f>
        <v>4.3998749999999998</v>
      </c>
      <c r="Y226" s="3">
        <f>1.25*Sheet1!Y226</f>
        <v>10.473124999999987</v>
      </c>
      <c r="Z226" s="3">
        <f>0.5*Sheet1!Z226</f>
        <v>2.6219999999999999</v>
      </c>
      <c r="AA226" s="3">
        <f>0.5*Sheet1!AA226</f>
        <v>3.2767499999999998</v>
      </c>
      <c r="AB226" s="3">
        <f>0.5*Sheet1!AB226</f>
        <v>3.0015000000000001</v>
      </c>
      <c r="AD226" s="3">
        <f t="shared" si="3"/>
        <v>139.3070625</v>
      </c>
    </row>
    <row r="227" spans="1:30" s="3" customFormat="1" ht="16" x14ac:dyDescent="0.2">
      <c r="A227" s="2">
        <v>130</v>
      </c>
      <c r="B227" s="2" t="s">
        <v>347</v>
      </c>
      <c r="C227" s="2" t="s">
        <v>345</v>
      </c>
      <c r="D227" s="2" t="s">
        <v>26</v>
      </c>
      <c r="F227" s="3">
        <f>0.75*Sheet1!F227</f>
        <v>3.0566249999999999</v>
      </c>
      <c r="G227" s="3">
        <f>1.25*Sheet1!G227</f>
        <v>1.25</v>
      </c>
      <c r="H227" s="3">
        <f>1.25*Sheet1!H227</f>
        <v>8.0356249999999996</v>
      </c>
      <c r="J227" s="3">
        <f>1.25*Sheet1!J227</f>
        <v>8.0356249999999996</v>
      </c>
      <c r="K227" s="3">
        <f>1.25*Sheet1!K227</f>
        <v>4.7774999999999999</v>
      </c>
      <c r="L227" s="3">
        <f>1.25*Sheet1!L227</f>
        <v>4.1349999999999998</v>
      </c>
      <c r="M227" s="3">
        <f>1.5*Sheet1!M227</f>
        <v>9.8279999999999994</v>
      </c>
      <c r="N227" s="3">
        <f>1.25*Sheet1!N227</f>
        <v>11.11</v>
      </c>
      <c r="O227" s="3">
        <f>1.5*Sheet1!O227</f>
        <v>12.680250000000001</v>
      </c>
      <c r="Q227" s="3">
        <f>1*Sheet1!Q227</f>
        <v>8.8879999999999999</v>
      </c>
      <c r="R227" s="3">
        <f>1.25*Sheet1!R227</f>
        <v>10.566875</v>
      </c>
      <c r="S227" s="3">
        <f>1.5*Sheet1!S227</f>
        <v>12.048749999999984</v>
      </c>
      <c r="T227" s="3">
        <f>1.5*Sheet1!T227</f>
        <v>11.027999999999984</v>
      </c>
      <c r="U227" s="3">
        <f>0.75*Sheet1!U227</f>
        <v>4.9664999999999999</v>
      </c>
      <c r="V227" s="3">
        <f>0.75*Sheet1!V227</f>
        <v>6.607312499999999</v>
      </c>
      <c r="W227" s="3">
        <f>0.75*Sheet1!W227</f>
        <v>4.8858750000000004</v>
      </c>
      <c r="Y227" s="3">
        <f>1.25*Sheet1!Y227</f>
        <v>5.1825000000000001</v>
      </c>
      <c r="Z227" s="3">
        <f>0.5*Sheet1!Z227</f>
        <v>2.1110000000000002</v>
      </c>
      <c r="AA227" s="3">
        <f>0.5*Sheet1!AA227</f>
        <v>2.6689999999999952</v>
      </c>
      <c r="AB227" s="3">
        <f>0.5*Sheet1!AB227</f>
        <v>2.929125</v>
      </c>
      <c r="AD227" s="3">
        <f t="shared" si="3"/>
        <v>134.79156249999994</v>
      </c>
    </row>
    <row r="228" spans="1:30" s="3" customFormat="1" ht="16" x14ac:dyDescent="0.2">
      <c r="A228" s="2">
        <v>265</v>
      </c>
      <c r="B228" s="2" t="s">
        <v>348</v>
      </c>
      <c r="C228" s="2" t="s">
        <v>345</v>
      </c>
      <c r="D228" s="2" t="s">
        <v>26</v>
      </c>
      <c r="F228" s="3">
        <f>0.75*Sheet1!F228</f>
        <v>1.1047500000000001</v>
      </c>
      <c r="G228" s="3">
        <f>1.25*Sheet1!G228</f>
        <v>1.25</v>
      </c>
      <c r="H228" s="3">
        <f>1.25*Sheet1!H228</f>
        <v>8.0356249999999996</v>
      </c>
      <c r="J228" s="3">
        <f>1.25*Sheet1!J228</f>
        <v>8.0356249999999996</v>
      </c>
      <c r="K228" s="3">
        <f>1.25*Sheet1!K228</f>
        <v>7.7543749999999996</v>
      </c>
      <c r="L228" s="3">
        <f>1.25*Sheet1!L228</f>
        <v>4.84</v>
      </c>
      <c r="M228" s="3">
        <f>1.5*Sheet1!M228</f>
        <v>9.8279999999999994</v>
      </c>
      <c r="N228" s="3">
        <f>1.25*Sheet1!N228</f>
        <v>11.11</v>
      </c>
      <c r="O228" s="3">
        <f>1.5*Sheet1!O228</f>
        <v>13.176749999999998</v>
      </c>
      <c r="Q228" s="3">
        <f>1*Sheet1!Q228</f>
        <v>8.8879999999999999</v>
      </c>
      <c r="R228" s="3">
        <f>1.25*Sheet1!R228</f>
        <v>10.980625</v>
      </c>
      <c r="S228" s="3">
        <f>1.5*Sheet1!S228</f>
        <v>13.59975</v>
      </c>
      <c r="T228" s="3">
        <f>1.5*Sheet1!T228</f>
        <v>11.505499999999994</v>
      </c>
      <c r="U228" s="3">
        <f>0.75*Sheet1!U228</f>
        <v>5.4656249999999993</v>
      </c>
      <c r="V228" s="3">
        <f>0.75*Sheet1!V228</f>
        <v>6.4822499999999925</v>
      </c>
      <c r="W228" s="3">
        <f>0.75*Sheet1!W228</f>
        <v>5.8001249999999924</v>
      </c>
      <c r="Y228" s="3">
        <f>1.25*Sheet1!Y228</f>
        <v>9.0843749999999996</v>
      </c>
      <c r="Z228" s="3">
        <f>0.5*Sheet1!Z228</f>
        <v>2.4827499999999998</v>
      </c>
      <c r="AA228" s="3">
        <f>0.5*Sheet1!AA228</f>
        <v>2.7004999999999999</v>
      </c>
      <c r="AB228" s="3">
        <f>0.5*Sheet1!AB228</f>
        <v>2.9197499999999952</v>
      </c>
      <c r="AD228" s="3">
        <f t="shared" si="3"/>
        <v>145.044375</v>
      </c>
    </row>
    <row r="229" spans="1:30" s="3" customFormat="1" ht="16" x14ac:dyDescent="0.2">
      <c r="A229" s="2">
        <v>233</v>
      </c>
      <c r="B229" s="2" t="s">
        <v>349</v>
      </c>
      <c r="C229" s="2" t="s">
        <v>350</v>
      </c>
      <c r="D229" s="2" t="s">
        <v>16</v>
      </c>
      <c r="F229" s="3">
        <f>0.75*Sheet1!F229</f>
        <v>5.9827500000000002</v>
      </c>
      <c r="G229" s="3">
        <f>1.25*Sheet1!G229</f>
        <v>7.0549999999999997</v>
      </c>
      <c r="H229" s="3">
        <f>1.25*Sheet1!H229</f>
        <v>9.1662499999999998</v>
      </c>
      <c r="J229" s="3">
        <f>1.25*Sheet1!J229</f>
        <v>9.1662499999999998</v>
      </c>
      <c r="K229" s="3">
        <f>1.25*Sheet1!K229</f>
        <v>6.8356249999999994</v>
      </c>
      <c r="L229" s="3">
        <f>1.25*Sheet1!L229</f>
        <v>3.4762500000000003</v>
      </c>
      <c r="M229" s="3">
        <f>1.5*Sheet1!M229</f>
        <v>9.9532499999999846</v>
      </c>
      <c r="N229" s="3">
        <f>1.25*Sheet1!N229</f>
        <v>10.427083333333325</v>
      </c>
      <c r="O229" s="3">
        <f>1.5*Sheet1!O229</f>
        <v>12.065249999999999</v>
      </c>
      <c r="Q229" s="3">
        <f>1*Sheet1!Q229</f>
        <v>8.3416666666666597</v>
      </c>
      <c r="R229" s="3">
        <f>1.25*Sheet1!R229</f>
        <v>10.054375</v>
      </c>
      <c r="S229" s="3">
        <f>1.5*Sheet1!S229</f>
        <v>14.312999999999999</v>
      </c>
      <c r="T229" s="3">
        <f>1.5*Sheet1!T229</f>
        <v>8.8579999999999952</v>
      </c>
      <c r="U229" s="3">
        <f>0.75*Sheet1!U229</f>
        <v>4.1921249999999999</v>
      </c>
      <c r="V229" s="3">
        <f>0.75*Sheet1!V229</f>
        <v>4.6768124999999925</v>
      </c>
      <c r="W229" s="3">
        <f>0.75*Sheet1!W229</f>
        <v>1.8828749999999999</v>
      </c>
      <c r="Y229" s="3">
        <f>1.25*Sheet1!Y229</f>
        <v>6.5393749999999997</v>
      </c>
      <c r="Z229" s="3">
        <f>0.5*Sheet1!Z229</f>
        <v>3.6317499999999998</v>
      </c>
      <c r="AA229" s="3">
        <f>0.5*Sheet1!AA229</f>
        <v>2.7942499999999999</v>
      </c>
      <c r="AB229" s="3">
        <f>0.5*Sheet1!AB229</f>
        <v>2.8032499999999998</v>
      </c>
      <c r="AD229" s="3">
        <f t="shared" si="3"/>
        <v>142.21518749999998</v>
      </c>
    </row>
    <row r="230" spans="1:30" s="3" customFormat="1" ht="16" x14ac:dyDescent="0.2">
      <c r="A230" s="2">
        <v>73</v>
      </c>
      <c r="B230" s="2" t="s">
        <v>351</v>
      </c>
      <c r="C230" s="2" t="s">
        <v>352</v>
      </c>
      <c r="D230" s="2" t="s">
        <v>103</v>
      </c>
      <c r="F230" s="3">
        <f>0.75*Sheet1!F230</f>
        <v>5.7389999999999999</v>
      </c>
      <c r="G230" s="3">
        <f>1.25*Sheet1!G230</f>
        <v>10.032499999999999</v>
      </c>
      <c r="H230" s="3">
        <f>1.25*Sheet1!H230</f>
        <v>5.6212499999999999</v>
      </c>
      <c r="J230" s="3">
        <f>1.25*Sheet1!J230</f>
        <v>5.6212499999999999</v>
      </c>
      <c r="K230" s="3">
        <f>1.25*Sheet1!K230</f>
        <v>3.359375</v>
      </c>
      <c r="L230" s="3">
        <f>1.25*Sheet1!L230</f>
        <v>3.9887499999999996</v>
      </c>
      <c r="M230" s="3">
        <f>1.5*Sheet1!M230</f>
        <v>8.2499999999999858</v>
      </c>
      <c r="N230" s="3">
        <f>1.25*Sheet1!N230</f>
        <v>4.1108333333333249</v>
      </c>
      <c r="O230" s="3">
        <f>1.5*Sheet1!O230</f>
        <v>4.14975</v>
      </c>
      <c r="Q230" s="3">
        <f>1*Sheet1!Q230</f>
        <v>3.2886666666666602</v>
      </c>
      <c r="R230" s="3">
        <f>1.25*Sheet1!R230</f>
        <v>3.4581250000000003</v>
      </c>
      <c r="S230" s="3">
        <f>1.5*Sheet1!S230</f>
        <v>9.1507500000000004</v>
      </c>
      <c r="T230" s="3">
        <f>1.5*Sheet1!T230</f>
        <v>4.8579999999999899</v>
      </c>
      <c r="U230" s="3">
        <f>0.75*Sheet1!U230</f>
        <v>0</v>
      </c>
      <c r="V230" s="3">
        <f>0.75*Sheet1!V230</f>
        <v>1.5601875000000001</v>
      </c>
      <c r="W230" s="3">
        <f>0.75*Sheet1!W230</f>
        <v>1.090125</v>
      </c>
      <c r="Y230" s="3">
        <f>1.25*Sheet1!Y230</f>
        <v>1.3875000000000002</v>
      </c>
      <c r="Z230" s="3">
        <f>0.5*Sheet1!Z230</f>
        <v>0.60250000000000004</v>
      </c>
      <c r="AA230" s="3">
        <f>0.5*Sheet1!AA230</f>
        <v>2.1767500000000002</v>
      </c>
      <c r="AB230" s="3">
        <f>0.5*Sheet1!AB230</f>
        <v>1.037874999999995</v>
      </c>
      <c r="AD230" s="3">
        <f t="shared" si="3"/>
        <v>79.483187499999957</v>
      </c>
    </row>
    <row r="231" spans="1:30" s="3" customFormat="1" ht="16" x14ac:dyDescent="0.2">
      <c r="A231" s="2">
        <v>57</v>
      </c>
      <c r="B231" s="2" t="s">
        <v>353</v>
      </c>
      <c r="C231" s="2" t="s">
        <v>354</v>
      </c>
      <c r="D231" s="2" t="s">
        <v>6</v>
      </c>
      <c r="F231" s="3">
        <f>0.75*Sheet1!F231</f>
        <v>5.0865</v>
      </c>
      <c r="G231" s="3">
        <f>1.25*Sheet1!G231</f>
        <v>7.651250000000001</v>
      </c>
      <c r="H231" s="3">
        <f>1.25*Sheet1!H231</f>
        <v>5.9649999999999999</v>
      </c>
      <c r="J231" s="3">
        <f>1.25*Sheet1!J231</f>
        <v>5.9649999999999999</v>
      </c>
      <c r="K231" s="3">
        <f>1.25*Sheet1!K231</f>
        <v>4.8868749999999874</v>
      </c>
      <c r="L231" s="3">
        <f>1.25*Sheet1!L231</f>
        <v>2.7850000000000001</v>
      </c>
      <c r="M231" s="3">
        <f>1.5*Sheet1!M231</f>
        <v>9.7717500000000008</v>
      </c>
      <c r="N231" s="3">
        <f>1.25*Sheet1!N231</f>
        <v>10.838749999999999</v>
      </c>
      <c r="O231" s="3">
        <f>1.5*Sheet1!O231</f>
        <v>7.1887500000000006</v>
      </c>
      <c r="Q231" s="3">
        <f>1*Sheet1!Q231</f>
        <v>8.6709999999999994</v>
      </c>
      <c r="R231" s="3">
        <f>1.25*Sheet1!R231</f>
        <v>5.9906250000000005</v>
      </c>
      <c r="S231" s="3">
        <f>1.5*Sheet1!S231</f>
        <v>6.702</v>
      </c>
      <c r="T231" s="3">
        <f>1.5*Sheet1!T231</f>
        <v>9.3644999999999854</v>
      </c>
      <c r="U231" s="3">
        <f>0.75*Sheet1!U231</f>
        <v>2.718375</v>
      </c>
      <c r="V231" s="3">
        <f>0.75*Sheet1!V231</f>
        <v>5.3636250000000008</v>
      </c>
      <c r="W231" s="3">
        <f>0.75*Sheet1!W231</f>
        <v>0.90712499999999996</v>
      </c>
      <c r="Y231" s="3">
        <f>1.25*Sheet1!Y231</f>
        <v>10.456250000000001</v>
      </c>
      <c r="Z231" s="3">
        <f>0.5*Sheet1!Z231</f>
        <v>2.0812499999999998</v>
      </c>
      <c r="AA231" s="3">
        <f>0.5*Sheet1!AA231</f>
        <v>1.954</v>
      </c>
      <c r="AB231" s="3">
        <f>0.5*Sheet1!AB231</f>
        <v>0.39849999999999952</v>
      </c>
      <c r="AD231" s="3">
        <f t="shared" si="3"/>
        <v>114.74612499999994</v>
      </c>
    </row>
    <row r="232" spans="1:30" s="3" customFormat="1" ht="16" x14ac:dyDescent="0.2">
      <c r="A232" s="2">
        <v>122</v>
      </c>
      <c r="B232" s="2" t="s">
        <v>355</v>
      </c>
      <c r="C232" s="2" t="s">
        <v>354</v>
      </c>
      <c r="D232" s="2" t="s">
        <v>6</v>
      </c>
      <c r="F232" s="3">
        <f>0.75*Sheet1!F232</f>
        <v>5.2316249999999922</v>
      </c>
      <c r="G232" s="3">
        <f>1.25*Sheet1!G232</f>
        <v>8.0587499999999999</v>
      </c>
      <c r="H232" s="3">
        <f>1.25*Sheet1!H232</f>
        <v>5.9649999999999999</v>
      </c>
      <c r="J232" s="3">
        <f>1.25*Sheet1!J232</f>
        <v>5.9649999999999999</v>
      </c>
      <c r="K232" s="3">
        <f>1.25*Sheet1!K232</f>
        <v>4.3956249999999999</v>
      </c>
      <c r="L232" s="3">
        <f>1.25*Sheet1!L232</f>
        <v>0</v>
      </c>
      <c r="M232" s="3">
        <f>1.5*Sheet1!M232</f>
        <v>9.7717500000000008</v>
      </c>
      <c r="N232" s="3">
        <f>1.25*Sheet1!N232</f>
        <v>10.838749999999999</v>
      </c>
      <c r="O232" s="3">
        <f>1.5*Sheet1!O232</f>
        <v>8.1037499999999998</v>
      </c>
      <c r="Q232" s="3">
        <f>1*Sheet1!Q232</f>
        <v>8.6709999999999994</v>
      </c>
      <c r="R232" s="3">
        <f>1.25*Sheet1!R232</f>
        <v>6.7531249999999998</v>
      </c>
      <c r="S232" s="3">
        <f>1.5*Sheet1!S232</f>
        <v>7.6942500000000003</v>
      </c>
      <c r="T232" s="3">
        <f>1.5*Sheet1!T232</f>
        <v>9.6324999999999896</v>
      </c>
      <c r="U232" s="3">
        <f>0.75*Sheet1!U232</f>
        <v>3.1589999999999998</v>
      </c>
      <c r="V232" s="3">
        <f>0.75*Sheet1!V232</f>
        <v>2.7924374999999926</v>
      </c>
      <c r="W232" s="3">
        <f>0.75*Sheet1!W232</f>
        <v>1.0342500000000001</v>
      </c>
      <c r="Y232" s="3">
        <f>1.25*Sheet1!Y232</f>
        <v>8.8656249999999872</v>
      </c>
      <c r="Z232" s="3">
        <f>0.5*Sheet1!Z232</f>
        <v>2.2477499999999999</v>
      </c>
      <c r="AA232" s="3">
        <f>0.5*Sheet1!AA232</f>
        <v>0.87624999999999997</v>
      </c>
      <c r="AB232" s="3">
        <f>0.5*Sheet1!AB232</f>
        <v>0.97150000000000003</v>
      </c>
      <c r="AD232" s="3">
        <f t="shared" si="3"/>
        <v>111.02793749999996</v>
      </c>
    </row>
    <row r="233" spans="1:30" s="3" customFormat="1" ht="16" x14ac:dyDescent="0.2">
      <c r="A233" s="2">
        <v>154</v>
      </c>
      <c r="B233" s="2" t="s">
        <v>356</v>
      </c>
      <c r="C233" s="2" t="s">
        <v>354</v>
      </c>
      <c r="D233" s="2" t="s">
        <v>6</v>
      </c>
      <c r="F233" s="3">
        <f>0.75*Sheet1!F233</f>
        <v>5.3358749999999997</v>
      </c>
      <c r="G233" s="3">
        <f>1.25*Sheet1!G233</f>
        <v>7.2862499999999999</v>
      </c>
      <c r="H233" s="3">
        <f>1.25*Sheet1!H233</f>
        <v>5.9649999999999999</v>
      </c>
      <c r="J233" s="3">
        <f>1.25*Sheet1!J233</f>
        <v>5.9649999999999999</v>
      </c>
      <c r="K233" s="3">
        <f>1.25*Sheet1!K233</f>
        <v>5.5618749999999872</v>
      </c>
      <c r="L233" s="3">
        <f>1.25*Sheet1!L233</f>
        <v>0</v>
      </c>
      <c r="M233" s="3">
        <f>1.5*Sheet1!M233</f>
        <v>9.7717500000000008</v>
      </c>
      <c r="N233" s="3">
        <f>1.25*Sheet1!N233</f>
        <v>10.838749999999999</v>
      </c>
      <c r="O233" s="3">
        <f>1.5*Sheet1!O233</f>
        <v>6.0607499999999996</v>
      </c>
      <c r="Q233" s="3">
        <f>1*Sheet1!Q233</f>
        <v>8.6709999999999994</v>
      </c>
      <c r="R233" s="3">
        <f>1.25*Sheet1!R233</f>
        <v>5.0506250000000001</v>
      </c>
      <c r="S233" s="3">
        <f>1.5*Sheet1!S233</f>
        <v>4.28775</v>
      </c>
      <c r="T233" s="3">
        <f>1.5*Sheet1!T233</f>
        <v>7.4269999999999943</v>
      </c>
      <c r="U233" s="3">
        <f>0.75*Sheet1!U233</f>
        <v>2.718375</v>
      </c>
      <c r="V233" s="3">
        <f>0.75*Sheet1!V233</f>
        <v>3.4089374999999924</v>
      </c>
      <c r="W233" s="3">
        <f>0.75*Sheet1!W233</f>
        <v>1.2461249999999999</v>
      </c>
      <c r="Y233" s="3">
        <f>1.25*Sheet1!Y233</f>
        <v>7.5875000000000004</v>
      </c>
      <c r="Z233" s="3">
        <f>0.5*Sheet1!Z233</f>
        <v>3.4302499999999951</v>
      </c>
      <c r="AA233" s="3">
        <f>0.5*Sheet1!AA233</f>
        <v>1.784749999999995</v>
      </c>
      <c r="AB233" s="3">
        <f>0.5*Sheet1!AB233</f>
        <v>0.95874999999999999</v>
      </c>
      <c r="AD233" s="3">
        <f t="shared" si="3"/>
        <v>103.35631249999996</v>
      </c>
    </row>
    <row r="234" spans="1:30" s="3" customFormat="1" ht="16" x14ac:dyDescent="0.2">
      <c r="A234" s="2">
        <v>169</v>
      </c>
      <c r="B234" s="2" t="s">
        <v>357</v>
      </c>
      <c r="C234" s="2" t="s">
        <v>354</v>
      </c>
      <c r="D234" s="2" t="s">
        <v>6</v>
      </c>
      <c r="F234" s="3">
        <f>0.75*Sheet1!F234</f>
        <v>3.3408750000000005</v>
      </c>
      <c r="G234" s="3">
        <f>1.25*Sheet1!G234</f>
        <v>7.1775000000000002</v>
      </c>
      <c r="H234" s="3">
        <f>1.25*Sheet1!H234</f>
        <v>5.9649999999999999</v>
      </c>
      <c r="J234" s="3">
        <f>1.25*Sheet1!J234</f>
        <v>5.9649999999999999</v>
      </c>
      <c r="K234" s="3">
        <f>1.25*Sheet1!K234</f>
        <v>7.5749999999999993</v>
      </c>
      <c r="L234" s="3">
        <f>1.25*Sheet1!L234</f>
        <v>4.4612499999999997</v>
      </c>
      <c r="M234" s="3">
        <f>1.5*Sheet1!M234</f>
        <v>9.7717500000000008</v>
      </c>
      <c r="N234" s="3">
        <f>1.25*Sheet1!N234</f>
        <v>10.838749999999999</v>
      </c>
      <c r="O234" s="3">
        <f>1.5*Sheet1!O234</f>
        <v>10.21125</v>
      </c>
      <c r="Q234" s="3">
        <f>1*Sheet1!Q234</f>
        <v>8.6709999999999994</v>
      </c>
      <c r="R234" s="3">
        <f>1.25*Sheet1!R234</f>
        <v>8.5093750000000004</v>
      </c>
      <c r="S234" s="3">
        <f>1.5*Sheet1!S234</f>
        <v>7.6170000000000009</v>
      </c>
      <c r="T234" s="3">
        <f>1.5*Sheet1!T234</f>
        <v>8.9294999999999849</v>
      </c>
      <c r="U234" s="3">
        <f>0.75*Sheet1!U234</f>
        <v>3.5497499999999995</v>
      </c>
      <c r="V234" s="3">
        <f>0.75*Sheet1!V234</f>
        <v>5.2923749999999927</v>
      </c>
      <c r="W234" s="3">
        <f>0.75*Sheet1!W234</f>
        <v>1.431</v>
      </c>
      <c r="Y234" s="3">
        <f>1.25*Sheet1!Y234</f>
        <v>8.2962499999999988</v>
      </c>
      <c r="Z234" s="3">
        <f>0.5*Sheet1!Z234</f>
        <v>3.51</v>
      </c>
      <c r="AA234" s="3">
        <f>0.5*Sheet1!AA234</f>
        <v>0.63674999999999504</v>
      </c>
      <c r="AB234" s="3">
        <f>0.5*Sheet1!AB234</f>
        <v>2.2505000000000002</v>
      </c>
      <c r="AD234" s="3">
        <f t="shared" si="3"/>
        <v>123.99987499999999</v>
      </c>
    </row>
    <row r="235" spans="1:30" s="3" customFormat="1" ht="16" x14ac:dyDescent="0.2">
      <c r="A235" s="2">
        <v>13</v>
      </c>
      <c r="B235" s="2" t="s">
        <v>358</v>
      </c>
      <c r="C235" s="2" t="s">
        <v>359</v>
      </c>
      <c r="D235" s="2" t="s">
        <v>6</v>
      </c>
      <c r="F235" s="3">
        <f>0.75*Sheet1!F235</f>
        <v>3.2508750000000002</v>
      </c>
      <c r="G235" s="3">
        <f>1.25*Sheet1!G235</f>
        <v>6.6937499999999872</v>
      </c>
      <c r="H235" s="3">
        <f>1.25*Sheet1!H235</f>
        <v>5.9649999999999999</v>
      </c>
      <c r="J235" s="3">
        <f>1.25*Sheet1!J235</f>
        <v>5.9649999999999999</v>
      </c>
      <c r="K235" s="3">
        <f>1.25*Sheet1!K235</f>
        <v>11.545000000000002</v>
      </c>
      <c r="L235" s="3">
        <f>1.25*Sheet1!L235</f>
        <v>8.6737500000000001</v>
      </c>
      <c r="M235" s="3">
        <f>1.5*Sheet1!M235</f>
        <v>9.7717500000000008</v>
      </c>
      <c r="N235" s="3">
        <f>1.25*Sheet1!N235</f>
        <v>10.838749999999999</v>
      </c>
      <c r="O235" s="3">
        <f>1.5*Sheet1!O235</f>
        <v>10.18425</v>
      </c>
      <c r="Q235" s="3">
        <f>1*Sheet1!Q235</f>
        <v>8.6709999999999994</v>
      </c>
      <c r="R235" s="3">
        <f>1.25*Sheet1!R235</f>
        <v>8.4868750000000013</v>
      </c>
      <c r="S235" s="3">
        <f>1.5*Sheet1!S235</f>
        <v>7.6035000000000004</v>
      </c>
      <c r="T235" s="3">
        <f>1.5*Sheet1!T235</f>
        <v>9.4224999999999905</v>
      </c>
      <c r="U235" s="3">
        <f>0.75*Sheet1!U235</f>
        <v>3.9862500000000001</v>
      </c>
      <c r="V235" s="3">
        <f>0.75*Sheet1!V235</f>
        <v>5.2730625</v>
      </c>
      <c r="W235" s="3">
        <f>0.75*Sheet1!W235</f>
        <v>1.388625</v>
      </c>
      <c r="Y235" s="3">
        <f>1.25*Sheet1!Y235</f>
        <v>11.311249999999999</v>
      </c>
      <c r="Z235" s="3">
        <f>0.5*Sheet1!Z235</f>
        <v>3.3489999999999949</v>
      </c>
      <c r="AA235" s="3">
        <f>0.5*Sheet1!AA235</f>
        <v>1.9544999999999999</v>
      </c>
      <c r="AB235" s="3">
        <f>0.5*Sheet1!AB235</f>
        <v>2.1652499999999999</v>
      </c>
      <c r="AD235" s="3">
        <f t="shared" si="3"/>
        <v>136.49993749999993</v>
      </c>
    </row>
    <row r="236" spans="1:30" s="3" customFormat="1" ht="16" x14ac:dyDescent="0.2">
      <c r="A236" s="2">
        <v>72</v>
      </c>
      <c r="B236" s="2" t="s">
        <v>360</v>
      </c>
      <c r="C236" s="2" t="s">
        <v>359</v>
      </c>
      <c r="D236" s="2" t="s">
        <v>6</v>
      </c>
      <c r="F236" s="3">
        <f>0.75*Sheet1!F236</f>
        <v>3.9442500000000003</v>
      </c>
      <c r="G236" s="3">
        <f>1.25*Sheet1!G236</f>
        <v>7.613749999999988</v>
      </c>
      <c r="H236" s="3">
        <f>1.25*Sheet1!H236</f>
        <v>5.9649999999999999</v>
      </c>
      <c r="J236" s="3">
        <f>1.25*Sheet1!J236</f>
        <v>5.9649999999999999</v>
      </c>
      <c r="K236" s="3">
        <f>1.25*Sheet1!K236</f>
        <v>9.9243749999999995</v>
      </c>
      <c r="L236" s="3">
        <f>1.25*Sheet1!L236</f>
        <v>6.1449999999999871</v>
      </c>
      <c r="M236" s="3">
        <f>1.5*Sheet1!M236</f>
        <v>9.7717500000000008</v>
      </c>
      <c r="N236" s="3">
        <f>1.25*Sheet1!N236</f>
        <v>10.838749999999999</v>
      </c>
      <c r="O236" s="3">
        <f>1.5*Sheet1!O236</f>
        <v>7.9409999999999989</v>
      </c>
      <c r="Q236" s="3">
        <f>1*Sheet1!Q236</f>
        <v>8.6709999999999994</v>
      </c>
      <c r="R236" s="3">
        <f>1.25*Sheet1!R236</f>
        <v>6.6174999999999997</v>
      </c>
      <c r="S236" s="3">
        <f>1.5*Sheet1!S236</f>
        <v>6.5084999999999846</v>
      </c>
      <c r="T236" s="3">
        <f>1.5*Sheet1!T236</f>
        <v>9.1299999999999901</v>
      </c>
      <c r="U236" s="3">
        <f>0.75*Sheet1!U236</f>
        <v>3.2130000000000001</v>
      </c>
      <c r="V236" s="3">
        <f>0.75*Sheet1!V236</f>
        <v>5.0197500000000002</v>
      </c>
      <c r="W236" s="3">
        <f>0.75*Sheet1!W236</f>
        <v>3.5598749999999928</v>
      </c>
      <c r="Y236" s="3">
        <f>1.25*Sheet1!Y236</f>
        <v>8.0762499999999875</v>
      </c>
      <c r="Z236" s="3">
        <f>0.5*Sheet1!Z236</f>
        <v>3.5842499999999999</v>
      </c>
      <c r="AA236" s="3">
        <f>0.5*Sheet1!AA236</f>
        <v>2.250999999999995</v>
      </c>
      <c r="AB236" s="3">
        <f>0.5*Sheet1!AB236</f>
        <v>2.2352499999999949</v>
      </c>
      <c r="AD236" s="3">
        <f t="shared" si="3"/>
        <v>126.97524999999992</v>
      </c>
    </row>
    <row r="237" spans="1:30" s="3" customFormat="1" ht="16" x14ac:dyDescent="0.2">
      <c r="A237" s="2">
        <v>109</v>
      </c>
      <c r="B237" s="2" t="s">
        <v>361</v>
      </c>
      <c r="C237" s="2" t="s">
        <v>359</v>
      </c>
      <c r="D237" s="2" t="s">
        <v>6</v>
      </c>
      <c r="F237" s="3">
        <f>0.75*Sheet1!F237</f>
        <v>3.9183750000000002</v>
      </c>
      <c r="G237" s="3">
        <f>1.25*Sheet1!G237</f>
        <v>7.7024999999999997</v>
      </c>
      <c r="H237" s="3">
        <f>1.25*Sheet1!H237</f>
        <v>5.9649999999999999</v>
      </c>
      <c r="J237" s="3">
        <f>1.25*Sheet1!J237</f>
        <v>5.9649999999999999</v>
      </c>
      <c r="K237" s="3">
        <f>1.25*Sheet1!K237</f>
        <v>9.9181249999999999</v>
      </c>
      <c r="L237" s="3">
        <f>1.25*Sheet1!L237</f>
        <v>5.5925000000000002</v>
      </c>
      <c r="M237" s="3">
        <f>1.5*Sheet1!M237</f>
        <v>9.7717500000000008</v>
      </c>
      <c r="N237" s="3">
        <f>1.25*Sheet1!N237</f>
        <v>10.838749999999999</v>
      </c>
      <c r="O237" s="3">
        <f>1.5*Sheet1!O237</f>
        <v>8.01</v>
      </c>
      <c r="Q237" s="3">
        <f>1*Sheet1!Q237</f>
        <v>8.6709999999999994</v>
      </c>
      <c r="R237" s="3">
        <f>1.25*Sheet1!R237</f>
        <v>6.6749999999999998</v>
      </c>
      <c r="S237" s="3">
        <f>1.5*Sheet1!S237</f>
        <v>4.6934999999999842</v>
      </c>
      <c r="T237" s="3">
        <f>1.5*Sheet1!T237</f>
        <v>9.5685000000000002</v>
      </c>
      <c r="U237" s="3">
        <f>0.75*Sheet1!U237</f>
        <v>3.6959999999999997</v>
      </c>
      <c r="V237" s="3">
        <f>0.75*Sheet1!V237</f>
        <v>3.9783749999999998</v>
      </c>
      <c r="W237" s="3">
        <f>0.75*Sheet1!W237</f>
        <v>3.2538749999999999</v>
      </c>
      <c r="Y237" s="3">
        <f>1.25*Sheet1!Y237</f>
        <v>7.8106249999999875</v>
      </c>
      <c r="Z237" s="3">
        <f>0.5*Sheet1!Z237</f>
        <v>3.5720000000000001</v>
      </c>
      <c r="AA237" s="3">
        <f>0.5*Sheet1!AA237</f>
        <v>2.6929999999999952</v>
      </c>
      <c r="AB237" s="3">
        <f>0.5*Sheet1!AB237</f>
        <v>2.0153750000000001</v>
      </c>
      <c r="AD237" s="3">
        <f t="shared" si="3"/>
        <v>124.30924999999998</v>
      </c>
    </row>
    <row r="238" spans="1:30" s="3" customFormat="1" ht="16" x14ac:dyDescent="0.2">
      <c r="A238" s="2">
        <v>210</v>
      </c>
      <c r="B238" s="2" t="s">
        <v>362</v>
      </c>
      <c r="C238" s="2" t="s">
        <v>359</v>
      </c>
      <c r="D238" s="2" t="s">
        <v>6</v>
      </c>
      <c r="F238" s="3">
        <f>0.75*Sheet1!F238</f>
        <v>4.8014999999999999</v>
      </c>
      <c r="G238" s="3">
        <f>1.25*Sheet1!G238</f>
        <v>8.3537499999999998</v>
      </c>
      <c r="H238" s="3">
        <f>1.25*Sheet1!H238</f>
        <v>5.9649999999999999</v>
      </c>
      <c r="J238" s="3">
        <f>1.25*Sheet1!J238</f>
        <v>5.9649999999999999</v>
      </c>
      <c r="K238" s="3">
        <f>1.25*Sheet1!K238</f>
        <v>6.6950000000000003</v>
      </c>
      <c r="L238" s="3">
        <f>1.25*Sheet1!L238</f>
        <v>4.4124999999999996</v>
      </c>
      <c r="M238" s="3">
        <f>1.5*Sheet1!M238</f>
        <v>9.7717500000000008</v>
      </c>
      <c r="N238" s="3">
        <f>1.25*Sheet1!N238</f>
        <v>10.838749999999999</v>
      </c>
      <c r="O238" s="3">
        <f>1.5*Sheet1!O238</f>
        <v>9.3810000000000002</v>
      </c>
      <c r="Q238" s="3">
        <f>1*Sheet1!Q238</f>
        <v>8.6709999999999994</v>
      </c>
      <c r="R238" s="3">
        <f>1.25*Sheet1!R238</f>
        <v>7.817499999999999</v>
      </c>
      <c r="S238" s="3">
        <f>1.5*Sheet1!S238</f>
        <v>6.3247499999999999</v>
      </c>
      <c r="T238" s="3">
        <f>1.5*Sheet1!T238</f>
        <v>9.4604999999999855</v>
      </c>
      <c r="U238" s="3">
        <f>0.75*Sheet1!U238</f>
        <v>3.1139999999999928</v>
      </c>
      <c r="V238" s="3">
        <f>0.75*Sheet1!V238</f>
        <v>4.6511249999999924</v>
      </c>
      <c r="W238" s="3">
        <f>0.75*Sheet1!W238</f>
        <v>1.2611250000000001</v>
      </c>
      <c r="Y238" s="3">
        <f>1.25*Sheet1!Y238</f>
        <v>10.093125000000001</v>
      </c>
      <c r="Z238" s="3">
        <f>0.5*Sheet1!Z238</f>
        <v>3.34775</v>
      </c>
      <c r="AA238" s="3">
        <f>0.5*Sheet1!AA238</f>
        <v>1.7092499999999999</v>
      </c>
      <c r="AB238" s="3">
        <f>0.5*Sheet1!AB238</f>
        <v>2.4823749999999949</v>
      </c>
      <c r="AD238" s="3">
        <f t="shared" si="3"/>
        <v>125.11674999999994</v>
      </c>
    </row>
    <row r="239" spans="1:30" s="3" customFormat="1" ht="16" x14ac:dyDescent="0.2">
      <c r="A239" s="2">
        <v>17</v>
      </c>
      <c r="B239" s="2" t="s">
        <v>363</v>
      </c>
      <c r="C239" s="2" t="s">
        <v>364</v>
      </c>
      <c r="D239" s="2" t="s">
        <v>16</v>
      </c>
      <c r="F239" s="3">
        <f>0.75*Sheet1!F239</f>
        <v>5.5451250000000005</v>
      </c>
      <c r="G239" s="3">
        <f>1.25*Sheet1!G239</f>
        <v>9.0274999999999999</v>
      </c>
      <c r="H239" s="3">
        <f>1.25*Sheet1!H239</f>
        <v>8.4931250000000009</v>
      </c>
      <c r="J239" s="3">
        <f>1.25*Sheet1!J239</f>
        <v>8.4931250000000009</v>
      </c>
      <c r="K239" s="3">
        <f>1.25*Sheet1!K239</f>
        <v>7.6487499999999997</v>
      </c>
      <c r="L239" s="3">
        <f>1.25*Sheet1!L239</f>
        <v>4.3162500000000001</v>
      </c>
      <c r="M239" s="3">
        <f>1.5*Sheet1!M239</f>
        <v>3.5804999999999998</v>
      </c>
      <c r="N239" s="3">
        <f>1.25*Sheet1!N239</f>
        <v>7.0045833333333256</v>
      </c>
      <c r="O239" s="3">
        <f>1.5*Sheet1!O239</f>
        <v>9.0285000000000011</v>
      </c>
      <c r="Q239" s="3">
        <f>1*Sheet1!Q239</f>
        <v>5.6036666666666601</v>
      </c>
      <c r="R239" s="3">
        <f>1.25*Sheet1!R239</f>
        <v>7.5237499999999997</v>
      </c>
      <c r="S239" s="3">
        <f>1.5*Sheet1!S239</f>
        <v>10.55475</v>
      </c>
      <c r="T239" s="3">
        <f>1.5*Sheet1!T239</f>
        <v>10.689999999999991</v>
      </c>
      <c r="U239" s="3">
        <f>0.75*Sheet1!U239</f>
        <v>1.2686250000000001</v>
      </c>
      <c r="V239" s="3">
        <f>0.75*Sheet1!V239</f>
        <v>2.5284374999999999</v>
      </c>
      <c r="W239" s="3">
        <f>0.75*Sheet1!W239</f>
        <v>3.0840000000000001</v>
      </c>
      <c r="Y239" s="3">
        <f>1.25*Sheet1!Y239</f>
        <v>6.0331249999999867</v>
      </c>
      <c r="Z239" s="3">
        <f>0.5*Sheet1!Z239</f>
        <v>4.5445000000000002</v>
      </c>
      <c r="AA239" s="3">
        <f>0.5*Sheet1!AA239</f>
        <v>3.2469999999999999</v>
      </c>
      <c r="AB239" s="3">
        <f>0.5*Sheet1!AB239</f>
        <v>2.1467499999999999</v>
      </c>
      <c r="AD239" s="3">
        <f t="shared" si="3"/>
        <v>120.36206249999995</v>
      </c>
    </row>
    <row r="240" spans="1:30" s="3" customFormat="1" ht="16" x14ac:dyDescent="0.2">
      <c r="A240" s="2">
        <v>59</v>
      </c>
      <c r="B240" s="2" t="s">
        <v>365</v>
      </c>
      <c r="C240" s="2" t="s">
        <v>364</v>
      </c>
      <c r="D240" s="2" t="s">
        <v>16</v>
      </c>
      <c r="F240" s="3">
        <f>0.75*Sheet1!F240</f>
        <v>7.0293749999999999</v>
      </c>
      <c r="G240" s="3">
        <f>1.25*Sheet1!G240</f>
        <v>10.618749999999999</v>
      </c>
      <c r="H240" s="3">
        <f>1.25*Sheet1!H240</f>
        <v>8.4931250000000009</v>
      </c>
      <c r="J240" s="3">
        <f>1.25*Sheet1!J240</f>
        <v>8.4931250000000009</v>
      </c>
      <c r="K240" s="3">
        <f>1.25*Sheet1!K240</f>
        <v>2.2287499999999998</v>
      </c>
      <c r="L240" s="3">
        <f>1.25*Sheet1!L240</f>
        <v>0</v>
      </c>
      <c r="M240" s="3">
        <f>1.5*Sheet1!M240</f>
        <v>3.5804999999999998</v>
      </c>
      <c r="N240" s="3">
        <f>1.25*Sheet1!N240</f>
        <v>7.0045833333333256</v>
      </c>
      <c r="O240" s="3">
        <f>1.5*Sheet1!O240</f>
        <v>10.30725</v>
      </c>
      <c r="Q240" s="3">
        <f>1*Sheet1!Q240</f>
        <v>5.6036666666666601</v>
      </c>
      <c r="R240" s="3">
        <f>1.25*Sheet1!R240</f>
        <v>8.5893750000000004</v>
      </c>
      <c r="S240" s="3">
        <f>1.5*Sheet1!S240</f>
        <v>12.678750000000001</v>
      </c>
      <c r="T240" s="3">
        <f>1.5*Sheet1!T240</f>
        <v>11.09049999999999</v>
      </c>
      <c r="U240" s="3">
        <f>0.75*Sheet1!U240</f>
        <v>1.265625</v>
      </c>
      <c r="V240" s="3">
        <f>0.75*Sheet1!V240</f>
        <v>2.9857499999999999</v>
      </c>
      <c r="W240" s="3">
        <f>0.75*Sheet1!W240</f>
        <v>1.270875</v>
      </c>
      <c r="Y240" s="3">
        <f>1.25*Sheet1!Y240</f>
        <v>5.3581250000000002</v>
      </c>
      <c r="Z240" s="3">
        <f>0.5*Sheet1!Z240</f>
        <v>3.4237500000000001</v>
      </c>
      <c r="AA240" s="3">
        <f>0.5*Sheet1!AA240</f>
        <v>1.5439999999999949</v>
      </c>
      <c r="AB240" s="3">
        <f>0.5*Sheet1!AB240</f>
        <v>2.5706249999999948</v>
      </c>
      <c r="AD240" s="3">
        <f t="shared" si="3"/>
        <v>114.13649999999996</v>
      </c>
    </row>
    <row r="241" spans="1:30" s="3" customFormat="1" ht="16" x14ac:dyDescent="0.2">
      <c r="A241" s="2">
        <v>189</v>
      </c>
      <c r="B241" s="2" t="s">
        <v>366</v>
      </c>
      <c r="C241" s="2" t="s">
        <v>364</v>
      </c>
      <c r="D241" s="2" t="s">
        <v>16</v>
      </c>
      <c r="F241" s="3">
        <f>0.75*Sheet1!F241</f>
        <v>6.6172500000000003</v>
      </c>
      <c r="G241" s="3">
        <f>1.25*Sheet1!G241</f>
        <v>9.5025000000000013</v>
      </c>
      <c r="H241" s="3">
        <f>1.25*Sheet1!H241</f>
        <v>8.4931250000000009</v>
      </c>
      <c r="J241" s="3">
        <f>1.25*Sheet1!J241</f>
        <v>8.4931250000000009</v>
      </c>
      <c r="K241" s="3">
        <f>1.25*Sheet1!K241</f>
        <v>2.805625</v>
      </c>
      <c r="L241" s="3">
        <f>1.25*Sheet1!L241</f>
        <v>0</v>
      </c>
      <c r="M241" s="3">
        <f>1.5*Sheet1!M241</f>
        <v>3.5804999999999998</v>
      </c>
      <c r="N241" s="3">
        <f>1.25*Sheet1!N241</f>
        <v>7.0045833333333256</v>
      </c>
      <c r="O241" s="3">
        <f>1.5*Sheet1!O241</f>
        <v>7.734</v>
      </c>
      <c r="Q241" s="3">
        <f>1*Sheet1!Q241</f>
        <v>5.6036666666666601</v>
      </c>
      <c r="R241" s="3">
        <f>1.25*Sheet1!R241</f>
        <v>6.4449999999999994</v>
      </c>
      <c r="S241" s="3">
        <f>1.5*Sheet1!S241</f>
        <v>8.5927500000000006</v>
      </c>
      <c r="T241" s="3">
        <f>1.5*Sheet1!T241</f>
        <v>9.9804999999999904</v>
      </c>
      <c r="U241" s="3">
        <f>0.75*Sheet1!U241</f>
        <v>0.89024999999999999</v>
      </c>
      <c r="V241" s="3">
        <f>0.75*Sheet1!V241</f>
        <v>2.7181875</v>
      </c>
      <c r="W241" s="3">
        <f>0.75*Sheet1!W241</f>
        <v>1.3556250000000001</v>
      </c>
      <c r="Y241" s="3">
        <f>1.25*Sheet1!Y241</f>
        <v>4.5187500000000007</v>
      </c>
      <c r="Z241" s="3">
        <f>0.5*Sheet1!Z241</f>
        <v>2.4067499999999948</v>
      </c>
      <c r="AA241" s="3">
        <f>0.5*Sheet1!AA241</f>
        <v>2.3129999999999948</v>
      </c>
      <c r="AB241" s="3">
        <f>0.5*Sheet1!AB241</f>
        <v>2.2521249999999999</v>
      </c>
      <c r="AD241" s="3">
        <f t="shared" si="3"/>
        <v>101.30731249999995</v>
      </c>
    </row>
    <row r="242" spans="1:30" s="3" customFormat="1" ht="16" x14ac:dyDescent="0.2">
      <c r="A242" s="2">
        <v>247</v>
      </c>
      <c r="B242" s="2" t="s">
        <v>367</v>
      </c>
      <c r="C242" s="2" t="s">
        <v>368</v>
      </c>
      <c r="D242" s="2" t="s">
        <v>103</v>
      </c>
      <c r="F242" s="3">
        <f>0.75*Sheet1!F242</f>
        <v>7.476</v>
      </c>
      <c r="G242" s="3">
        <f>1.25*Sheet1!G242</f>
        <v>12.497499999999999</v>
      </c>
      <c r="H242" s="3">
        <f>1.25*Sheet1!H242</f>
        <v>3.2487500000000002</v>
      </c>
      <c r="J242" s="3">
        <f>1.25*Sheet1!J242</f>
        <v>3.2487500000000002</v>
      </c>
      <c r="K242" s="3">
        <f>1.25*Sheet1!K242</f>
        <v>3.7112499999999997</v>
      </c>
      <c r="L242" s="3">
        <f>1.25*Sheet1!L242</f>
        <v>0</v>
      </c>
      <c r="M242" s="3">
        <f>1.5*Sheet1!M242</f>
        <v>4.6379999999999999</v>
      </c>
      <c r="N242" s="3">
        <f>1.25*Sheet1!N242</f>
        <v>8.2770833333333247</v>
      </c>
      <c r="O242" s="3">
        <f>1.5*Sheet1!O242</f>
        <v>7.0905000000000005</v>
      </c>
      <c r="Q242" s="3">
        <f>1*Sheet1!Q242</f>
        <v>6.6216666666666599</v>
      </c>
      <c r="R242" s="3">
        <f>1.25*Sheet1!R242</f>
        <v>5.9087500000000004</v>
      </c>
      <c r="S242" s="3">
        <f>1.5*Sheet1!S242</f>
        <v>12.437249999999999</v>
      </c>
      <c r="T242" s="3">
        <f>1.5*Sheet1!T242</f>
        <v>9.4389999999999894</v>
      </c>
      <c r="U242" s="3">
        <f>0.75*Sheet1!U242</f>
        <v>0.375</v>
      </c>
      <c r="V242" s="3">
        <f>0.75*Sheet1!V242</f>
        <v>2.4598125</v>
      </c>
      <c r="W242" s="3">
        <f>0.75*Sheet1!W242</f>
        <v>1.956</v>
      </c>
      <c r="Y242" s="3">
        <f>1.25*Sheet1!Y242</f>
        <v>1.340625</v>
      </c>
      <c r="Z242" s="3">
        <f>0.5*Sheet1!Z242</f>
        <v>2.8712499999999999</v>
      </c>
      <c r="AA242" s="3">
        <f>0.5*Sheet1!AA242</f>
        <v>2.68275</v>
      </c>
      <c r="AB242" s="3">
        <f>0.5*Sheet1!AB242</f>
        <v>2.8072499999999998</v>
      </c>
      <c r="AD242" s="3">
        <f t="shared" si="3"/>
        <v>99.087187499999985</v>
      </c>
    </row>
    <row r="243" spans="1:30" s="3" customFormat="1" ht="16" x14ac:dyDescent="0.2">
      <c r="A243" s="2">
        <v>7</v>
      </c>
      <c r="B243" s="2" t="s">
        <v>369</v>
      </c>
      <c r="C243" s="2" t="s">
        <v>370</v>
      </c>
      <c r="D243" s="2" t="s">
        <v>16</v>
      </c>
      <c r="F243" s="3">
        <f>0.75*Sheet1!F243</f>
        <v>7.4460000000000006</v>
      </c>
      <c r="G243" s="3">
        <f>1.25*Sheet1!G243</f>
        <v>11.40625</v>
      </c>
      <c r="H243" s="3">
        <f>1.25*Sheet1!H243</f>
        <v>5.4043749999999875</v>
      </c>
      <c r="J243" s="3">
        <f>1.25*Sheet1!J243</f>
        <v>5.4043749999999875</v>
      </c>
      <c r="K243" s="3">
        <f>1.25*Sheet1!K243</f>
        <v>4.9656250000000002</v>
      </c>
      <c r="L243" s="3">
        <f>1.25*Sheet1!L243</f>
        <v>0</v>
      </c>
      <c r="M243" s="3">
        <f>1.5*Sheet1!M243</f>
        <v>6.14025</v>
      </c>
      <c r="N243" s="3">
        <f>1.25*Sheet1!N243</f>
        <v>7.4354166666666623</v>
      </c>
      <c r="O243" s="3">
        <f>1.5*Sheet1!O243</f>
        <v>6.7282500000000001</v>
      </c>
      <c r="Q243" s="3">
        <f>1*Sheet1!Q243</f>
        <v>5.9483333333333297</v>
      </c>
      <c r="R243" s="3">
        <f>1.25*Sheet1!R243</f>
        <v>5.6068750000000005</v>
      </c>
      <c r="S243" s="3">
        <f>1.5*Sheet1!S243</f>
        <v>11.137499999999999</v>
      </c>
      <c r="T243" s="3">
        <f>1.5*Sheet1!T243</f>
        <v>10.371499999999994</v>
      </c>
      <c r="U243" s="3">
        <f>0.75*Sheet1!U243</f>
        <v>1.5213750000000001</v>
      </c>
      <c r="V243" s="3">
        <f>0.75*Sheet1!V243</f>
        <v>2.202</v>
      </c>
      <c r="W243" s="3">
        <f>0.75*Sheet1!W243</f>
        <v>1.535625</v>
      </c>
      <c r="Y243" s="3">
        <f>1.25*Sheet1!Y243</f>
        <v>2.8949999999999996</v>
      </c>
      <c r="Z243" s="3">
        <f>0.5*Sheet1!Z243</f>
        <v>4.3192499999999949</v>
      </c>
      <c r="AA243" s="3">
        <f>0.5*Sheet1!AA243</f>
        <v>2.5732499999999998</v>
      </c>
      <c r="AB243" s="3">
        <f>0.5*Sheet1!AB243</f>
        <v>2.6455000000000002</v>
      </c>
      <c r="AD243" s="3">
        <f t="shared" si="3"/>
        <v>105.68674999999996</v>
      </c>
    </row>
    <row r="244" spans="1:30" s="3" customFormat="1" ht="16" x14ac:dyDescent="0.2">
      <c r="A244" s="2">
        <v>113</v>
      </c>
      <c r="B244" s="2" t="s">
        <v>371</v>
      </c>
      <c r="C244" s="2" t="s">
        <v>370</v>
      </c>
      <c r="D244" s="2" t="s">
        <v>16</v>
      </c>
      <c r="F244" s="3">
        <f>0.75*Sheet1!F244</f>
        <v>6.8531249999999995</v>
      </c>
      <c r="G244" s="3">
        <f>1.25*Sheet1!G244</f>
        <v>10.983750000000001</v>
      </c>
      <c r="H244" s="3">
        <f>1.25*Sheet1!H244</f>
        <v>5.4043749999999875</v>
      </c>
      <c r="J244" s="3">
        <f>1.25*Sheet1!J244</f>
        <v>5.4043749999999875</v>
      </c>
      <c r="K244" s="3">
        <f>1.25*Sheet1!K244</f>
        <v>8.6918749999999996</v>
      </c>
      <c r="L244" s="3">
        <f>1.25*Sheet1!L244</f>
        <v>2.6387499999999875</v>
      </c>
      <c r="M244" s="3">
        <f>1.5*Sheet1!M244</f>
        <v>6.14025</v>
      </c>
      <c r="N244" s="3">
        <f>1.25*Sheet1!N244</f>
        <v>7.4354166666666623</v>
      </c>
      <c r="O244" s="3">
        <f>1.5*Sheet1!O244</f>
        <v>5.8387500000000001</v>
      </c>
      <c r="Q244" s="3">
        <f>1*Sheet1!Q244</f>
        <v>5.9483333333333297</v>
      </c>
      <c r="R244" s="3">
        <f>1.25*Sheet1!R244</f>
        <v>4.8656249999999996</v>
      </c>
      <c r="S244" s="3">
        <f>1.5*Sheet1!S244</f>
        <v>10.340250000000001</v>
      </c>
      <c r="T244" s="3">
        <f>1.5*Sheet1!T244</f>
        <v>10.259999999999986</v>
      </c>
      <c r="U244" s="3">
        <f>0.75*Sheet1!U244</f>
        <v>1.6143749999999999</v>
      </c>
      <c r="V244" s="3">
        <f>0.75*Sheet1!V244</f>
        <v>2.5535625</v>
      </c>
      <c r="W244" s="3">
        <f>0.75*Sheet1!W244</f>
        <v>4.3766249999999998</v>
      </c>
      <c r="Y244" s="3">
        <f>1.25*Sheet1!Y244</f>
        <v>4.3756250000000003</v>
      </c>
      <c r="Z244" s="3">
        <f>0.5*Sheet1!Z244</f>
        <v>5</v>
      </c>
      <c r="AA244" s="3">
        <f>0.5*Sheet1!AA244</f>
        <v>2.87175</v>
      </c>
      <c r="AB244" s="3">
        <f>0.5*Sheet1!AB244</f>
        <v>2.0328750000000002</v>
      </c>
      <c r="AD244" s="3">
        <f t="shared" si="3"/>
        <v>113.62968749999995</v>
      </c>
    </row>
    <row r="245" spans="1:30" s="3" customFormat="1" ht="16" x14ac:dyDescent="0.2">
      <c r="A245" s="2">
        <v>120</v>
      </c>
      <c r="B245" s="2" t="s">
        <v>372</v>
      </c>
      <c r="C245" s="2" t="s">
        <v>373</v>
      </c>
      <c r="D245" s="2" t="s">
        <v>26</v>
      </c>
      <c r="F245" s="3">
        <f>0.75*Sheet1!F245</f>
        <v>6.8133750000000006</v>
      </c>
      <c r="G245" s="3">
        <f>1.25*Sheet1!G245</f>
        <v>12.27125</v>
      </c>
      <c r="H245" s="3">
        <f>1.25*Sheet1!H245</f>
        <v>6.8475000000000001</v>
      </c>
      <c r="J245" s="3">
        <f>1.25*Sheet1!J245</f>
        <v>6.8475000000000001</v>
      </c>
      <c r="K245" s="3">
        <f>1.25*Sheet1!K245</f>
        <v>5.0618750000000006</v>
      </c>
      <c r="L245" s="3">
        <f>1.25*Sheet1!L245</f>
        <v>3.1812499999999999</v>
      </c>
      <c r="M245" s="3">
        <f>1.5*Sheet1!M245</f>
        <v>1.9132500000000001</v>
      </c>
      <c r="N245" s="3">
        <f>1.25*Sheet1!N245</f>
        <v>5.6566666666666618</v>
      </c>
      <c r="O245" s="3">
        <f>1.5*Sheet1!O245</f>
        <v>10.240500000000001</v>
      </c>
      <c r="Q245" s="3">
        <f>1*Sheet1!Q245</f>
        <v>4.5253333333333297</v>
      </c>
      <c r="R245" s="3">
        <f>1.25*Sheet1!R245</f>
        <v>8.5337499999999995</v>
      </c>
      <c r="S245" s="3">
        <f>1.5*Sheet1!S245</f>
        <v>10.88325</v>
      </c>
      <c r="T245" s="3">
        <f>1.5*Sheet1!T245</f>
        <v>7.2764999999999853</v>
      </c>
      <c r="U245" s="3">
        <f>0.75*Sheet1!U245</f>
        <v>0.375</v>
      </c>
      <c r="V245" s="3">
        <f>0.75*Sheet1!V245</f>
        <v>2.7498750000000003</v>
      </c>
      <c r="W245" s="3">
        <f>0.75*Sheet1!W245</f>
        <v>4.1156249999999996</v>
      </c>
      <c r="Y245" s="3">
        <f>1.25*Sheet1!Y245</f>
        <v>7.5518749999999883</v>
      </c>
      <c r="Z245" s="3">
        <f>0.5*Sheet1!Z245</f>
        <v>4.2097499999999997</v>
      </c>
      <c r="AA245" s="3">
        <f>0.5*Sheet1!AA245</f>
        <v>2.6744999999999952</v>
      </c>
      <c r="AB245" s="3">
        <f>0.5*Sheet1!AB245</f>
        <v>2.5803750000000001</v>
      </c>
      <c r="AD245" s="3">
        <f t="shared" si="3"/>
        <v>114.30899999999995</v>
      </c>
    </row>
    <row r="246" spans="1:30" s="3" customFormat="1" ht="16" x14ac:dyDescent="0.2">
      <c r="A246" s="2">
        <v>142</v>
      </c>
      <c r="B246" s="2" t="s">
        <v>374</v>
      </c>
      <c r="C246" s="2" t="s">
        <v>373</v>
      </c>
      <c r="D246" s="2" t="s">
        <v>26</v>
      </c>
      <c r="F246" s="3">
        <f>0.75*Sheet1!F246</f>
        <v>7.3335000000000008</v>
      </c>
      <c r="G246" s="3">
        <f>1.25*Sheet1!G246</f>
        <v>12.5</v>
      </c>
      <c r="H246" s="3">
        <f>1.25*Sheet1!H246</f>
        <v>6.8475000000000001</v>
      </c>
      <c r="J246" s="3">
        <f>1.25*Sheet1!J246</f>
        <v>6.8475000000000001</v>
      </c>
      <c r="K246" s="3">
        <f>1.25*Sheet1!K246</f>
        <v>5.2549999999999999</v>
      </c>
      <c r="L246" s="3">
        <f>1.25*Sheet1!L246</f>
        <v>0</v>
      </c>
      <c r="M246" s="3">
        <f>1.5*Sheet1!M246</f>
        <v>1.9132500000000001</v>
      </c>
      <c r="N246" s="3">
        <f>1.25*Sheet1!N246</f>
        <v>5.6566666666666618</v>
      </c>
      <c r="O246" s="3">
        <f>1.5*Sheet1!O246</f>
        <v>10.073999999999986</v>
      </c>
      <c r="Q246" s="3">
        <f>1*Sheet1!Q246</f>
        <v>4.5253333333333297</v>
      </c>
      <c r="R246" s="3">
        <f>1.25*Sheet1!R246</f>
        <v>8.3949999999999889</v>
      </c>
      <c r="S246" s="3">
        <f>1.5*Sheet1!S246</f>
        <v>11.733000000000001</v>
      </c>
      <c r="T246" s="3">
        <f>1.5*Sheet1!T246</f>
        <v>7.3049999999999855</v>
      </c>
      <c r="U246" s="3">
        <f>0.75*Sheet1!U246</f>
        <v>0</v>
      </c>
      <c r="V246" s="3">
        <f>0.75*Sheet1!V246</f>
        <v>3.6189374999999995</v>
      </c>
      <c r="W246" s="3">
        <f>0.75*Sheet1!W246</f>
        <v>2.8211249999999999</v>
      </c>
      <c r="Y246" s="3">
        <f>1.25*Sheet1!Y246</f>
        <v>6.3199999999999878</v>
      </c>
      <c r="Z246" s="3">
        <f>0.5*Sheet1!Z246</f>
        <v>3.5292499999999949</v>
      </c>
      <c r="AA246" s="3">
        <f>0.5*Sheet1!AA246</f>
        <v>2.218</v>
      </c>
      <c r="AB246" s="3">
        <f>0.5*Sheet1!AB246</f>
        <v>2.7426249999999999</v>
      </c>
      <c r="AD246" s="3">
        <f t="shared" si="3"/>
        <v>109.63568749999993</v>
      </c>
    </row>
    <row r="247" spans="1:30" s="3" customFormat="1" ht="32" x14ac:dyDescent="0.2">
      <c r="A247" s="2">
        <v>80</v>
      </c>
      <c r="B247" s="2" t="s">
        <v>375</v>
      </c>
      <c r="C247" s="2" t="s">
        <v>376</v>
      </c>
      <c r="D247" s="2" t="s">
        <v>16</v>
      </c>
      <c r="F247" s="3">
        <f>0.75*Sheet1!F247</f>
        <v>1.9432500000000001</v>
      </c>
      <c r="G247" s="3">
        <f>1.25*Sheet1!G247</f>
        <v>6.8625000000000007</v>
      </c>
      <c r="H247" s="3">
        <f>1.25*Sheet1!H247</f>
        <v>12.5</v>
      </c>
      <c r="J247" s="3">
        <f>1.25*Sheet1!J247</f>
        <v>12.5</v>
      </c>
      <c r="K247" s="3">
        <f>1.25*Sheet1!K247</f>
        <v>9.1362500000000004</v>
      </c>
      <c r="L247" s="3">
        <f>1.25*Sheet1!L247</f>
        <v>5.2287499999999998</v>
      </c>
      <c r="M247" s="3">
        <f>1.5*Sheet1!M247</f>
        <v>11.828999999999986</v>
      </c>
      <c r="N247" s="3">
        <f>1.25*Sheet1!N247</f>
        <v>10.046249999999988</v>
      </c>
      <c r="O247" s="3">
        <f>1.5*Sheet1!O247</f>
        <v>8.1397499999999994</v>
      </c>
      <c r="Q247" s="3">
        <f>1*Sheet1!Q247</f>
        <v>8.0369999999999902</v>
      </c>
      <c r="R247" s="3">
        <f>1.25*Sheet1!R247</f>
        <v>6.7831250000000001</v>
      </c>
      <c r="S247" s="3">
        <f>1.5*Sheet1!S247</f>
        <v>13.758000000000001</v>
      </c>
      <c r="T247" s="3">
        <f>1.5*Sheet1!T247</f>
        <v>9.587999999999985</v>
      </c>
      <c r="U247" s="3">
        <f>0.75*Sheet1!U247</f>
        <v>1.71</v>
      </c>
      <c r="V247" s="3">
        <f>0.75*Sheet1!V247</f>
        <v>4.5266250000000001</v>
      </c>
      <c r="W247" s="3">
        <f>0.75*Sheet1!W247</f>
        <v>3.3810000000000002</v>
      </c>
      <c r="Y247" s="3">
        <f>1.25*Sheet1!Y247</f>
        <v>3.9387499999999998</v>
      </c>
      <c r="Z247" s="3">
        <f>0.5*Sheet1!Z247</f>
        <v>2.3352499999999998</v>
      </c>
      <c r="AA247" s="3">
        <f>0.5*Sheet1!AA247</f>
        <v>2.8992499999999999</v>
      </c>
      <c r="AB247" s="3">
        <f>0.5*Sheet1!AB247</f>
        <v>2.1142499999999949</v>
      </c>
      <c r="AD247" s="3">
        <f t="shared" si="3"/>
        <v>137.25699999999995</v>
      </c>
    </row>
    <row r="248" spans="1:30" s="3" customFormat="1" ht="32" x14ac:dyDescent="0.2">
      <c r="A248" s="2">
        <v>21</v>
      </c>
      <c r="B248" s="2" t="s">
        <v>377</v>
      </c>
      <c r="C248" s="2" t="s">
        <v>378</v>
      </c>
      <c r="D248" s="2" t="s">
        <v>26</v>
      </c>
      <c r="F248" s="3">
        <f>0.75*Sheet1!F248</f>
        <v>5.649</v>
      </c>
      <c r="G248" s="3">
        <f>1.25*Sheet1!G248</f>
        <v>7.5175000000000001</v>
      </c>
      <c r="H248" s="3">
        <f>1.25*Sheet1!H248</f>
        <v>7.4431250000000002</v>
      </c>
      <c r="J248" s="3">
        <f>1.25*Sheet1!J248</f>
        <v>7.4431250000000002</v>
      </c>
      <c r="K248" s="3">
        <f>1.25*Sheet1!K248</f>
        <v>4.4375</v>
      </c>
      <c r="L248" s="3">
        <f>1.25*Sheet1!L248</f>
        <v>2.0262500000000001</v>
      </c>
      <c r="M248" s="3">
        <f>1.5*Sheet1!M248</f>
        <v>8.157</v>
      </c>
      <c r="N248" s="3">
        <f>1.25*Sheet1!N248</f>
        <v>11.239999999999988</v>
      </c>
      <c r="O248" s="3">
        <f>1.5*Sheet1!O248</f>
        <v>8.9692499999999988</v>
      </c>
      <c r="Q248" s="3">
        <f>1*Sheet1!Q248</f>
        <v>8.9919999999999902</v>
      </c>
      <c r="R248" s="3">
        <f>1.25*Sheet1!R248</f>
        <v>7.4743750000000002</v>
      </c>
      <c r="S248" s="3">
        <f>1.5*Sheet1!S248</f>
        <v>11.518499999999985</v>
      </c>
      <c r="T248" s="3">
        <f>1.5*Sheet1!T248</f>
        <v>12.252499999999994</v>
      </c>
      <c r="U248" s="3">
        <f>0.75*Sheet1!U248</f>
        <v>3.514875</v>
      </c>
      <c r="V248" s="3">
        <f>0.75*Sheet1!V248</f>
        <v>6.2831250000000001</v>
      </c>
      <c r="W248" s="3">
        <f>0.75*Sheet1!W248</f>
        <v>3.0738749999999997</v>
      </c>
      <c r="Y248" s="3">
        <f>1.25*Sheet1!Y248</f>
        <v>6.9943749999999874</v>
      </c>
      <c r="Z248" s="3">
        <f>0.5*Sheet1!Z248</f>
        <v>2.4784999999999999</v>
      </c>
      <c r="AA248" s="3">
        <f>0.5*Sheet1!AA248</f>
        <v>0.70650000000000002</v>
      </c>
      <c r="AB248" s="3">
        <f>0.5*Sheet1!AB248</f>
        <v>2.64</v>
      </c>
      <c r="AD248" s="3">
        <f t="shared" si="3"/>
        <v>128.81137499999994</v>
      </c>
    </row>
    <row r="249" spans="1:30" s="3" customFormat="1" ht="32" x14ac:dyDescent="0.2">
      <c r="A249" s="2">
        <v>29</v>
      </c>
      <c r="B249" s="2" t="s">
        <v>4</v>
      </c>
      <c r="C249" s="2" t="s">
        <v>378</v>
      </c>
      <c r="D249" s="2" t="s">
        <v>26</v>
      </c>
      <c r="F249" s="3">
        <f>0.75*Sheet1!F249</f>
        <v>4.4276249999999999</v>
      </c>
      <c r="G249" s="3">
        <f>1.25*Sheet1!G249</f>
        <v>7.2675000000000001</v>
      </c>
      <c r="H249" s="3">
        <f>1.25*Sheet1!H249</f>
        <v>7.4431250000000002</v>
      </c>
      <c r="J249" s="3">
        <f>1.25*Sheet1!J249</f>
        <v>7.4431250000000002</v>
      </c>
      <c r="K249" s="3">
        <f>1.25*Sheet1!K249</f>
        <v>5.4468750000000004</v>
      </c>
      <c r="L249" s="3">
        <f>1.25*Sheet1!L249</f>
        <v>3.17625</v>
      </c>
      <c r="M249" s="3">
        <f>1.5*Sheet1!M249</f>
        <v>8.157</v>
      </c>
      <c r="N249" s="3">
        <f>1.25*Sheet1!N249</f>
        <v>11.239999999999988</v>
      </c>
      <c r="O249" s="3">
        <f>1.5*Sheet1!O249</f>
        <v>9.6315000000000008</v>
      </c>
      <c r="Q249" s="3">
        <f>1*Sheet1!Q249</f>
        <v>8.9919999999999902</v>
      </c>
      <c r="R249" s="3">
        <f>1.25*Sheet1!R249</f>
        <v>8.026250000000001</v>
      </c>
      <c r="S249" s="3">
        <f>1.5*Sheet1!S249</f>
        <v>10.419750000000001</v>
      </c>
      <c r="T249" s="3">
        <f>1.5*Sheet1!T249</f>
        <v>12.440499999999989</v>
      </c>
      <c r="U249" s="3">
        <f>0.75*Sheet1!U249</f>
        <v>3.7698750000000003</v>
      </c>
      <c r="V249" s="3">
        <f>0.75*Sheet1!V249</f>
        <v>4.3038749999999997</v>
      </c>
      <c r="W249" s="3">
        <f>0.75*Sheet1!W249</f>
        <v>4.38375</v>
      </c>
      <c r="Y249" s="3">
        <f>1.25*Sheet1!Y249</f>
        <v>7.4250000000000007</v>
      </c>
      <c r="Z249" s="3">
        <f>0.5*Sheet1!Z249</f>
        <v>2.2174999999999998</v>
      </c>
      <c r="AA249" s="3">
        <f>0.5*Sheet1!AA249</f>
        <v>0.63375000000000004</v>
      </c>
      <c r="AB249" s="3">
        <f>0.5*Sheet1!AB249</f>
        <v>2.74675</v>
      </c>
      <c r="AD249" s="3">
        <f t="shared" si="3"/>
        <v>129.59199999999998</v>
      </c>
    </row>
    <row r="250" spans="1:30" s="3" customFormat="1" ht="32" x14ac:dyDescent="0.2">
      <c r="A250" s="2">
        <v>39</v>
      </c>
      <c r="B250" s="2" t="s">
        <v>379</v>
      </c>
      <c r="C250" s="2" t="s">
        <v>378</v>
      </c>
      <c r="D250" s="2" t="s">
        <v>26</v>
      </c>
      <c r="F250" s="3">
        <f>0.75*Sheet1!F250</f>
        <v>1.8675000000000002</v>
      </c>
      <c r="G250" s="3">
        <f>1.25*Sheet1!G250</f>
        <v>6.6549999999999994</v>
      </c>
      <c r="H250" s="3">
        <f>1.25*Sheet1!H250</f>
        <v>7.4431250000000002</v>
      </c>
      <c r="J250" s="3">
        <f>1.25*Sheet1!J250</f>
        <v>7.4431250000000002</v>
      </c>
      <c r="K250" s="3">
        <f>1.25*Sheet1!K250</f>
        <v>4.2618749999999874</v>
      </c>
      <c r="L250" s="3">
        <f>1.25*Sheet1!L250</f>
        <v>0</v>
      </c>
      <c r="M250" s="3">
        <f>1.5*Sheet1!M250</f>
        <v>8.157</v>
      </c>
      <c r="N250" s="3">
        <f>1.25*Sheet1!N250</f>
        <v>11.239999999999988</v>
      </c>
      <c r="O250" s="3">
        <f>1.5*Sheet1!O250</f>
        <v>12.254999999999999</v>
      </c>
      <c r="Q250" s="3">
        <f>1*Sheet1!Q250</f>
        <v>8.9919999999999902</v>
      </c>
      <c r="R250" s="3">
        <f>1.25*Sheet1!R250</f>
        <v>10.2125</v>
      </c>
      <c r="S250" s="3">
        <f>1.5*Sheet1!S250</f>
        <v>12.707250000000002</v>
      </c>
      <c r="T250" s="3">
        <f>1.5*Sheet1!T250</f>
        <v>11.574499999999995</v>
      </c>
      <c r="U250" s="3">
        <f>0.75*Sheet1!U250</f>
        <v>3.6795</v>
      </c>
      <c r="V250" s="3">
        <f>0.75*Sheet1!V250</f>
        <v>6.184312499999999</v>
      </c>
      <c r="W250" s="3">
        <f>0.75*Sheet1!W250</f>
        <v>6.2414999999999994</v>
      </c>
      <c r="Y250" s="3">
        <f>1.25*Sheet1!Y250</f>
        <v>5.9481249999999992</v>
      </c>
      <c r="Z250" s="3">
        <f>0.5*Sheet1!Z250</f>
        <v>2.4347500000000002</v>
      </c>
      <c r="AA250" s="3">
        <f>0.5*Sheet1!AA250</f>
        <v>2.4489999999999998</v>
      </c>
      <c r="AB250" s="3">
        <f>0.5*Sheet1!AB250</f>
        <v>2.7737500000000002</v>
      </c>
      <c r="AD250" s="3">
        <f t="shared" si="3"/>
        <v>132.5198125</v>
      </c>
    </row>
    <row r="251" spans="1:30" s="3" customFormat="1" ht="32" x14ac:dyDescent="0.2">
      <c r="A251" s="2">
        <v>41</v>
      </c>
      <c r="B251" s="2" t="s">
        <v>380</v>
      </c>
      <c r="C251" s="2" t="s">
        <v>378</v>
      </c>
      <c r="D251" s="2" t="s">
        <v>26</v>
      </c>
      <c r="F251" s="3">
        <f>0.75*Sheet1!F251</f>
        <v>3.9119999999999928</v>
      </c>
      <c r="G251" s="3">
        <f>1.25*Sheet1!G251</f>
        <v>6.5525000000000002</v>
      </c>
      <c r="H251" s="3">
        <f>1.25*Sheet1!H251</f>
        <v>7.4431250000000002</v>
      </c>
      <c r="J251" s="3">
        <f>1.25*Sheet1!J251</f>
        <v>7.4431250000000002</v>
      </c>
      <c r="K251" s="3">
        <f>1.25*Sheet1!K251</f>
        <v>5.1412500000000003</v>
      </c>
      <c r="L251" s="3">
        <f>1.25*Sheet1!L251</f>
        <v>4.49125</v>
      </c>
      <c r="M251" s="3">
        <f>1.5*Sheet1!M251</f>
        <v>8.157</v>
      </c>
      <c r="N251" s="3">
        <f>1.25*Sheet1!N251</f>
        <v>11.239999999999988</v>
      </c>
      <c r="O251" s="3">
        <f>1.5*Sheet1!O251</f>
        <v>11.159249999999986</v>
      </c>
      <c r="Q251" s="3">
        <f>1*Sheet1!Q251</f>
        <v>8.9919999999999902</v>
      </c>
      <c r="R251" s="3">
        <f>1.25*Sheet1!R251</f>
        <v>9.2993749999999871</v>
      </c>
      <c r="S251" s="3">
        <f>1.5*Sheet1!S251</f>
        <v>11.909999999999984</v>
      </c>
      <c r="T251" s="3">
        <f>1.5*Sheet1!T251</f>
        <v>12.377499999999991</v>
      </c>
      <c r="U251" s="3">
        <f>0.75*Sheet1!U251</f>
        <v>4.0961249999999998</v>
      </c>
      <c r="V251" s="3">
        <f>0.75*Sheet1!V251</f>
        <v>4.8541875000000001</v>
      </c>
      <c r="W251" s="3">
        <f>0.75*Sheet1!W251</f>
        <v>3.6674999999999995</v>
      </c>
      <c r="Y251" s="3">
        <f>1.25*Sheet1!Y251</f>
        <v>8.0975000000000001</v>
      </c>
      <c r="Z251" s="3">
        <f>0.5*Sheet1!Z251</f>
        <v>1.9312499999999999</v>
      </c>
      <c r="AA251" s="3">
        <f>0.5*Sheet1!AA251</f>
        <v>2.2690000000000001</v>
      </c>
      <c r="AB251" s="3">
        <f>0.5*Sheet1!AB251</f>
        <v>2.7218749999999998</v>
      </c>
      <c r="AD251" s="3">
        <f t="shared" si="3"/>
        <v>135.75581249999996</v>
      </c>
    </row>
    <row r="252" spans="1:30" s="3" customFormat="1" ht="32" x14ac:dyDescent="0.2">
      <c r="A252" s="2">
        <v>50</v>
      </c>
      <c r="B252" s="2" t="s">
        <v>381</v>
      </c>
      <c r="C252" s="2" t="s">
        <v>378</v>
      </c>
      <c r="D252" s="2" t="s">
        <v>26</v>
      </c>
      <c r="F252" s="3">
        <f>0.75*Sheet1!F252</f>
        <v>3.0791250000000003</v>
      </c>
      <c r="G252" s="3">
        <f>1.25*Sheet1!G252</f>
        <v>6.0637499999999998</v>
      </c>
      <c r="H252" s="3">
        <f>1.25*Sheet1!H252</f>
        <v>7.4431250000000002</v>
      </c>
      <c r="J252" s="3">
        <f>1.25*Sheet1!J252</f>
        <v>7.4431250000000002</v>
      </c>
      <c r="K252" s="3">
        <f>1.25*Sheet1!K252</f>
        <v>6.5662500000000001</v>
      </c>
      <c r="L252" s="3">
        <f>1.25*Sheet1!L252</f>
        <v>4.1049999999999995</v>
      </c>
      <c r="M252" s="3">
        <f>1.5*Sheet1!M252</f>
        <v>8.157</v>
      </c>
      <c r="N252" s="3">
        <f>1.25*Sheet1!N252</f>
        <v>11.239999999999988</v>
      </c>
      <c r="O252" s="3">
        <f>1.5*Sheet1!O252</f>
        <v>12.730499999999999</v>
      </c>
      <c r="Q252" s="3">
        <f>1*Sheet1!Q252</f>
        <v>8.9919999999999902</v>
      </c>
      <c r="R252" s="3">
        <f>1.25*Sheet1!R252</f>
        <v>10.608750000000001</v>
      </c>
      <c r="S252" s="3">
        <f>1.5*Sheet1!S252</f>
        <v>14.256749999999984</v>
      </c>
      <c r="T252" s="3">
        <f>1.5*Sheet1!T252</f>
        <v>12.2835</v>
      </c>
      <c r="U252" s="3">
        <f>0.75*Sheet1!U252</f>
        <v>4.9158749999999998</v>
      </c>
      <c r="V252" s="3">
        <f>0.75*Sheet1!V252</f>
        <v>6.0123750000000005</v>
      </c>
      <c r="W252" s="3">
        <f>0.75*Sheet1!W252</f>
        <v>5.1656249999999932</v>
      </c>
      <c r="Y252" s="3">
        <f>1.25*Sheet1!Y252</f>
        <v>7.2618749999999999</v>
      </c>
      <c r="Z252" s="3">
        <f>0.5*Sheet1!Z252</f>
        <v>1.2275</v>
      </c>
      <c r="AA252" s="3">
        <f>0.5*Sheet1!AA252</f>
        <v>0.25</v>
      </c>
      <c r="AB252" s="3">
        <f>0.5*Sheet1!AB252</f>
        <v>2.8138749999999999</v>
      </c>
      <c r="AD252" s="3">
        <f t="shared" si="3"/>
        <v>140.61599999999996</v>
      </c>
    </row>
    <row r="253" spans="1:30" s="3" customFormat="1" ht="32" x14ac:dyDescent="0.2">
      <c r="A253" s="2">
        <v>53</v>
      </c>
      <c r="B253" s="2" t="s">
        <v>382</v>
      </c>
      <c r="C253" s="2" t="s">
        <v>378</v>
      </c>
      <c r="D253" s="2" t="s">
        <v>26</v>
      </c>
      <c r="F253" s="3">
        <f>0.75*Sheet1!F253</f>
        <v>5.2987500000000001</v>
      </c>
      <c r="G253" s="3">
        <f>1.25*Sheet1!G253</f>
        <v>7.6025</v>
      </c>
      <c r="H253" s="3">
        <f>1.25*Sheet1!H253</f>
        <v>7.4431250000000002</v>
      </c>
      <c r="J253" s="3">
        <f>1.25*Sheet1!J253</f>
        <v>7.4431250000000002</v>
      </c>
      <c r="K253" s="3">
        <f>1.25*Sheet1!K253</f>
        <v>4.2443749999999998</v>
      </c>
      <c r="L253" s="3">
        <f>1.25*Sheet1!L253</f>
        <v>2.2250000000000001</v>
      </c>
      <c r="M253" s="3">
        <f>1.5*Sheet1!M253</f>
        <v>8.157</v>
      </c>
      <c r="N253" s="3">
        <f>1.25*Sheet1!N253</f>
        <v>11.239999999999988</v>
      </c>
      <c r="O253" s="3">
        <f>1.5*Sheet1!O253</f>
        <v>11.994</v>
      </c>
      <c r="Q253" s="3">
        <f>1*Sheet1!Q253</f>
        <v>8.9919999999999902</v>
      </c>
      <c r="R253" s="3">
        <f>1.25*Sheet1!R253</f>
        <v>9.995000000000001</v>
      </c>
      <c r="S253" s="3">
        <f>1.5*Sheet1!S253</f>
        <v>12.315000000000001</v>
      </c>
      <c r="T253" s="3">
        <f>1.5*Sheet1!T253</f>
        <v>12.477499999999996</v>
      </c>
      <c r="U253" s="3">
        <f>0.75*Sheet1!U253</f>
        <v>3.5891250000000001</v>
      </c>
      <c r="V253" s="3">
        <f>0.75*Sheet1!V253</f>
        <v>4.9554374999999924</v>
      </c>
      <c r="W253" s="3">
        <f>0.75*Sheet1!W253</f>
        <v>3.6674999999999995</v>
      </c>
      <c r="Y253" s="3">
        <f>1.25*Sheet1!Y253</f>
        <v>6.3762499999999998</v>
      </c>
      <c r="Z253" s="3">
        <f>0.5*Sheet1!Z253</f>
        <v>2.5142500000000001</v>
      </c>
      <c r="AA253" s="3">
        <f>0.5*Sheet1!AA253</f>
        <v>2.4027500000000002</v>
      </c>
      <c r="AB253" s="3">
        <f>0.5*Sheet1!AB253</f>
        <v>2.8823749999999948</v>
      </c>
      <c r="AD253" s="3">
        <f t="shared" si="3"/>
        <v>135.81506249999998</v>
      </c>
    </row>
    <row r="254" spans="1:30" s="3" customFormat="1" ht="32" x14ac:dyDescent="0.2">
      <c r="A254" s="2">
        <v>83</v>
      </c>
      <c r="B254" s="2" t="s">
        <v>383</v>
      </c>
      <c r="C254" s="2" t="s">
        <v>378</v>
      </c>
      <c r="D254" s="2" t="s">
        <v>26</v>
      </c>
      <c r="F254" s="3">
        <f>0.75*Sheet1!F254</f>
        <v>4.38375</v>
      </c>
      <c r="G254" s="3">
        <f>1.25*Sheet1!G254</f>
        <v>6.3925000000000001</v>
      </c>
      <c r="H254" s="3">
        <f>1.25*Sheet1!H254</f>
        <v>7.4431250000000002</v>
      </c>
      <c r="J254" s="3">
        <f>1.25*Sheet1!J254</f>
        <v>7.4431250000000002</v>
      </c>
      <c r="K254" s="3">
        <f>1.25*Sheet1!K254</f>
        <v>5.1362500000000004</v>
      </c>
      <c r="L254" s="3">
        <f>1.25*Sheet1!L254</f>
        <v>4.1712499999999872</v>
      </c>
      <c r="M254" s="3">
        <f>1.5*Sheet1!M254</f>
        <v>8.157</v>
      </c>
      <c r="N254" s="3">
        <f>1.25*Sheet1!N254</f>
        <v>11.239999999999988</v>
      </c>
      <c r="O254" s="3">
        <f>1.5*Sheet1!O254</f>
        <v>11.882999999999999</v>
      </c>
      <c r="Q254" s="3">
        <f>1*Sheet1!Q254</f>
        <v>8.9919999999999902</v>
      </c>
      <c r="R254" s="3">
        <f>1.25*Sheet1!R254</f>
        <v>9.9024999999999999</v>
      </c>
      <c r="S254" s="3">
        <f>1.5*Sheet1!S254</f>
        <v>12.727499999999999</v>
      </c>
      <c r="T254" s="3">
        <f>1.5*Sheet1!T254</f>
        <v>12.828499999999995</v>
      </c>
      <c r="U254" s="3">
        <f>0.75*Sheet1!U254</f>
        <v>4.569375</v>
      </c>
      <c r="V254" s="3">
        <f>0.75*Sheet1!V254</f>
        <v>5.8222500000000004</v>
      </c>
      <c r="W254" s="3">
        <f>0.75*Sheet1!W254</f>
        <v>3.8887499999999999</v>
      </c>
      <c r="Y254" s="3">
        <f>1.25*Sheet1!Y254</f>
        <v>6.4693750000000003</v>
      </c>
      <c r="Z254" s="3">
        <f>0.5*Sheet1!Z254</f>
        <v>3.60025</v>
      </c>
      <c r="AA254" s="3">
        <f>0.5*Sheet1!AA254</f>
        <v>2.5655000000000001</v>
      </c>
      <c r="AB254" s="3">
        <f>0.5*Sheet1!AB254</f>
        <v>2.9837500000000001</v>
      </c>
      <c r="AD254" s="3">
        <f t="shared" si="3"/>
        <v>140.59974999999997</v>
      </c>
    </row>
    <row r="255" spans="1:30" s="3" customFormat="1" ht="32" x14ac:dyDescent="0.2">
      <c r="A255" s="2">
        <v>96</v>
      </c>
      <c r="B255" s="2" t="s">
        <v>384</v>
      </c>
      <c r="C255" s="2" t="s">
        <v>378</v>
      </c>
      <c r="D255" s="2" t="s">
        <v>26</v>
      </c>
      <c r="F255" s="3">
        <f>0.75*Sheet1!F255</f>
        <v>5.1963749999999997</v>
      </c>
      <c r="G255" s="3">
        <f>1.25*Sheet1!G255</f>
        <v>7.0287500000000005</v>
      </c>
      <c r="H255" s="3">
        <f>1.25*Sheet1!H255</f>
        <v>7.4431250000000002</v>
      </c>
      <c r="J255" s="3">
        <f>1.25*Sheet1!J255</f>
        <v>7.4431250000000002</v>
      </c>
      <c r="K255" s="3">
        <f>1.25*Sheet1!K255</f>
        <v>4.3812499999999996</v>
      </c>
      <c r="L255" s="3">
        <f>1.25*Sheet1!L255</f>
        <v>1.4775</v>
      </c>
      <c r="M255" s="3">
        <f>1.5*Sheet1!M255</f>
        <v>8.157</v>
      </c>
      <c r="N255" s="3">
        <f>1.25*Sheet1!N255</f>
        <v>11.239999999999988</v>
      </c>
      <c r="O255" s="3">
        <f>1.5*Sheet1!O255</f>
        <v>10.4145</v>
      </c>
      <c r="Q255" s="3">
        <f>1*Sheet1!Q255</f>
        <v>8.9919999999999902</v>
      </c>
      <c r="R255" s="3">
        <f>1.25*Sheet1!R255</f>
        <v>8.6787499999999991</v>
      </c>
      <c r="S255" s="3">
        <f>1.5*Sheet1!S255</f>
        <v>11.244</v>
      </c>
      <c r="T255" s="3">
        <f>1.5*Sheet1!T255</f>
        <v>13.219999999999995</v>
      </c>
      <c r="U255" s="3">
        <f>0.75*Sheet1!U255</f>
        <v>3.9798749999999998</v>
      </c>
      <c r="V255" s="3">
        <f>0.75*Sheet1!V255</f>
        <v>5.3257499999999922</v>
      </c>
      <c r="W255" s="3">
        <f>0.75*Sheet1!W255</f>
        <v>4.6496249999999995</v>
      </c>
      <c r="Y255" s="3">
        <f>1.25*Sheet1!Y255</f>
        <v>5.3162499999999877</v>
      </c>
      <c r="Z255" s="3">
        <f>0.5*Sheet1!Z255</f>
        <v>2.3355000000000001</v>
      </c>
      <c r="AA255" s="3">
        <f>0.5*Sheet1!AA255</f>
        <v>1.8704999999999949</v>
      </c>
      <c r="AB255" s="3">
        <f>0.5*Sheet1!AB255</f>
        <v>2.6761249999999999</v>
      </c>
      <c r="AD255" s="3">
        <f t="shared" si="3"/>
        <v>131.06999999999996</v>
      </c>
    </row>
    <row r="256" spans="1:30" s="3" customFormat="1" ht="32" x14ac:dyDescent="0.2">
      <c r="A256" s="2">
        <v>131</v>
      </c>
      <c r="B256" s="2" t="s">
        <v>385</v>
      </c>
      <c r="C256" s="2" t="s">
        <v>378</v>
      </c>
      <c r="D256" s="2" t="s">
        <v>26</v>
      </c>
      <c r="F256" s="3">
        <f>0.75*Sheet1!F256</f>
        <v>5.10825</v>
      </c>
      <c r="G256" s="3">
        <f>1.25*Sheet1!G256</f>
        <v>6.703749999999987</v>
      </c>
      <c r="H256" s="3">
        <f>1.25*Sheet1!H256</f>
        <v>7.4431250000000002</v>
      </c>
      <c r="J256" s="3">
        <f>1.25*Sheet1!J256</f>
        <v>7.4431250000000002</v>
      </c>
      <c r="K256" s="3">
        <f>1.25*Sheet1!K256</f>
        <v>4.2006250000000005</v>
      </c>
      <c r="L256" s="3">
        <f>1.25*Sheet1!L256</f>
        <v>5.5287500000000005</v>
      </c>
      <c r="M256" s="3">
        <f>1.5*Sheet1!M256</f>
        <v>8.157</v>
      </c>
      <c r="N256" s="3">
        <f>1.25*Sheet1!N256</f>
        <v>11.239999999999988</v>
      </c>
      <c r="O256" s="3">
        <f>1.5*Sheet1!O256</f>
        <v>10.821000000000002</v>
      </c>
      <c r="Q256" s="3">
        <f>1*Sheet1!Q256</f>
        <v>8.9919999999999902</v>
      </c>
      <c r="R256" s="3">
        <f>1.25*Sheet1!R256</f>
        <v>9.0175000000000001</v>
      </c>
      <c r="S256" s="3">
        <f>1.5*Sheet1!S256</f>
        <v>11.596499999999999</v>
      </c>
      <c r="T256" s="3">
        <f>1.5*Sheet1!T256</f>
        <v>12.950499999999989</v>
      </c>
      <c r="U256" s="3">
        <f>0.75*Sheet1!U256</f>
        <v>3.7368749999999999</v>
      </c>
      <c r="V256" s="3">
        <f>0.75*Sheet1!V256</f>
        <v>4.4414999999999996</v>
      </c>
      <c r="W256" s="3">
        <f>0.75*Sheet1!W256</f>
        <v>4.94625</v>
      </c>
      <c r="Y256" s="3">
        <f>1.25*Sheet1!Y256</f>
        <v>9.1618749999999878</v>
      </c>
      <c r="Z256" s="3">
        <f>0.5*Sheet1!Z256</f>
        <v>1.8717499999999949</v>
      </c>
      <c r="AA256" s="3">
        <f>0.5*Sheet1!AA256</f>
        <v>0.64775000000000005</v>
      </c>
      <c r="AB256" s="3">
        <f>0.5*Sheet1!AB256</f>
        <v>2.5528749999999998</v>
      </c>
      <c r="AD256" s="3">
        <f t="shared" si="3"/>
        <v>136.56099999999995</v>
      </c>
    </row>
    <row r="257" spans="1:30" s="3" customFormat="1" ht="32" x14ac:dyDescent="0.2">
      <c r="A257" s="2">
        <v>136</v>
      </c>
      <c r="B257" s="2" t="s">
        <v>386</v>
      </c>
      <c r="C257" s="2" t="s">
        <v>378</v>
      </c>
      <c r="D257" s="2" t="s">
        <v>26</v>
      </c>
      <c r="F257" s="3">
        <f>0.75*Sheet1!F257</f>
        <v>5.6137500000000005</v>
      </c>
      <c r="G257" s="3">
        <f>1.25*Sheet1!G257</f>
        <v>7.5249999999999995</v>
      </c>
      <c r="H257" s="3">
        <f>1.25*Sheet1!H257</f>
        <v>7.4431250000000002</v>
      </c>
      <c r="J257" s="3">
        <f>1.25*Sheet1!J257</f>
        <v>7.4431250000000002</v>
      </c>
      <c r="K257" s="3">
        <f>1.25*Sheet1!K257</f>
        <v>4.4487499999999871</v>
      </c>
      <c r="L257" s="3">
        <f>1.25*Sheet1!L257</f>
        <v>2.9437500000000001</v>
      </c>
      <c r="M257" s="3">
        <f>1.5*Sheet1!M257</f>
        <v>8.157</v>
      </c>
      <c r="N257" s="3">
        <f>1.25*Sheet1!N257</f>
        <v>11.239999999999988</v>
      </c>
      <c r="O257" s="3">
        <f>1.5*Sheet1!O257</f>
        <v>11.176499999999999</v>
      </c>
      <c r="Q257" s="3">
        <f>1*Sheet1!Q257</f>
        <v>8.9919999999999902</v>
      </c>
      <c r="R257" s="3">
        <f>1.25*Sheet1!R257</f>
        <v>9.3137499999999989</v>
      </c>
      <c r="S257" s="3">
        <f>1.5*Sheet1!S257</f>
        <v>11.592750000000001</v>
      </c>
      <c r="T257" s="3">
        <f>1.5*Sheet1!T257</f>
        <v>13.541499999999989</v>
      </c>
      <c r="U257" s="3">
        <f>0.75*Sheet1!U257</f>
        <v>3.6539999999999999</v>
      </c>
      <c r="V257" s="3">
        <f>0.75*Sheet1!V257</f>
        <v>5.4564374999999998</v>
      </c>
      <c r="W257" s="3">
        <f>0.75*Sheet1!W257</f>
        <v>4.9871249999999998</v>
      </c>
      <c r="Y257" s="3">
        <f>1.25*Sheet1!Y257</f>
        <v>11.2425</v>
      </c>
      <c r="Z257" s="3">
        <f>0.5*Sheet1!Z257</f>
        <v>2.6964999999999999</v>
      </c>
      <c r="AA257" s="3">
        <f>0.5*Sheet1!AA257</f>
        <v>2.72925</v>
      </c>
      <c r="AB257" s="3">
        <f>0.5*Sheet1!AB257</f>
        <v>2.2704999999999949</v>
      </c>
      <c r="AD257" s="3">
        <f t="shared" si="3"/>
        <v>142.46731249999993</v>
      </c>
    </row>
    <row r="258" spans="1:30" s="3" customFormat="1" ht="32" x14ac:dyDescent="0.2">
      <c r="A258" s="2">
        <v>138</v>
      </c>
      <c r="B258" s="2" t="s">
        <v>387</v>
      </c>
      <c r="C258" s="2" t="s">
        <v>378</v>
      </c>
      <c r="D258" s="2" t="s">
        <v>26</v>
      </c>
      <c r="F258" s="3">
        <f>0.75*Sheet1!F258</f>
        <v>0.75</v>
      </c>
      <c r="G258" s="3">
        <f>1.25*Sheet1!G258</f>
        <v>4.9249999999999998</v>
      </c>
      <c r="H258" s="3">
        <f>1.25*Sheet1!H258</f>
        <v>7.4431250000000002</v>
      </c>
      <c r="J258" s="3">
        <f>1.25*Sheet1!J258</f>
        <v>7.4431250000000002</v>
      </c>
      <c r="K258" s="3">
        <f>1.25*Sheet1!K258</f>
        <v>12.5</v>
      </c>
      <c r="L258" s="3">
        <f>1.25*Sheet1!L258</f>
        <v>12.32375</v>
      </c>
      <c r="M258" s="3">
        <f>1.5*Sheet1!M258</f>
        <v>8.157</v>
      </c>
      <c r="N258" s="3">
        <f>1.25*Sheet1!N258</f>
        <v>11.239999999999988</v>
      </c>
      <c r="O258" s="3">
        <f>1.5*Sheet1!O258</f>
        <v>9.8595000000000006</v>
      </c>
      <c r="Q258" s="3">
        <f>1*Sheet1!Q258</f>
        <v>8.9919999999999902</v>
      </c>
      <c r="R258" s="3">
        <f>1.25*Sheet1!R258</f>
        <v>8.2162500000000005</v>
      </c>
      <c r="S258" s="3">
        <f>1.5*Sheet1!S258</f>
        <v>10.86525</v>
      </c>
      <c r="T258" s="3">
        <f>1.5*Sheet1!T258</f>
        <v>12.026999999999985</v>
      </c>
      <c r="U258" s="3">
        <f>0.75*Sheet1!U258</f>
        <v>6.770249999999999</v>
      </c>
      <c r="V258" s="3">
        <f>0.75*Sheet1!V258</f>
        <v>4.1608124999999996</v>
      </c>
      <c r="W258" s="3">
        <f>0.75*Sheet1!W258</f>
        <v>7.0518749999999999</v>
      </c>
      <c r="Y258" s="3">
        <f>1.25*Sheet1!Y258</f>
        <v>7.3068750000000007</v>
      </c>
      <c r="Z258" s="3">
        <f>0.5*Sheet1!Z258</f>
        <v>4.7277500000000003</v>
      </c>
      <c r="AA258" s="3">
        <f>0.5*Sheet1!AA258</f>
        <v>2.6872499999999948</v>
      </c>
      <c r="AB258" s="3">
        <f>0.5*Sheet1!AB258</f>
        <v>2.6977500000000001</v>
      </c>
      <c r="AD258" s="3">
        <f t="shared" si="3"/>
        <v>150.14456249999998</v>
      </c>
    </row>
    <row r="259" spans="1:30" s="3" customFormat="1" ht="32" x14ac:dyDescent="0.2">
      <c r="A259" s="2">
        <v>149</v>
      </c>
      <c r="B259" s="2" t="s">
        <v>388</v>
      </c>
      <c r="C259" s="2" t="s">
        <v>378</v>
      </c>
      <c r="D259" s="2" t="s">
        <v>26</v>
      </c>
      <c r="F259" s="3">
        <f>0.75*Sheet1!F259</f>
        <v>4.8416249999999996</v>
      </c>
      <c r="G259" s="3">
        <f>1.25*Sheet1!G259</f>
        <v>6.3112500000000002</v>
      </c>
      <c r="H259" s="3">
        <f>1.25*Sheet1!H259</f>
        <v>7.4431250000000002</v>
      </c>
      <c r="J259" s="3">
        <f>1.25*Sheet1!J259</f>
        <v>7.4431250000000002</v>
      </c>
      <c r="K259" s="3">
        <f>1.25*Sheet1!K259</f>
        <v>7.211875</v>
      </c>
      <c r="L259" s="3">
        <f>1.25*Sheet1!L259</f>
        <v>6.1350000000000007</v>
      </c>
      <c r="M259" s="3">
        <f>1.5*Sheet1!M259</f>
        <v>8.157</v>
      </c>
      <c r="N259" s="3">
        <f>1.25*Sheet1!N259</f>
        <v>11.239999999999988</v>
      </c>
      <c r="O259" s="3">
        <f>1.5*Sheet1!O259</f>
        <v>10.015499999999999</v>
      </c>
      <c r="Q259" s="3">
        <f>1*Sheet1!Q259</f>
        <v>8.9919999999999902</v>
      </c>
      <c r="R259" s="3">
        <f>1.25*Sheet1!R259</f>
        <v>8.3462499999999995</v>
      </c>
      <c r="S259" s="3">
        <f>1.5*Sheet1!S259</f>
        <v>10.15875</v>
      </c>
      <c r="T259" s="3">
        <f>1.5*Sheet1!T259</f>
        <v>12.778499999999983</v>
      </c>
      <c r="U259" s="3">
        <f>0.75*Sheet1!U259</f>
        <v>4.2389999999999999</v>
      </c>
      <c r="V259" s="3">
        <f>0.75*Sheet1!V259</f>
        <v>3.2722500000000005</v>
      </c>
      <c r="W259" s="3">
        <f>0.75*Sheet1!W259</f>
        <v>4.7981249999999998</v>
      </c>
      <c r="Y259" s="3">
        <f>1.25*Sheet1!Y259</f>
        <v>7.2675000000000001</v>
      </c>
      <c r="Z259" s="3">
        <f>0.5*Sheet1!Z259</f>
        <v>2.4874999999999998</v>
      </c>
      <c r="AA259" s="3">
        <f>0.5*Sheet1!AA259</f>
        <v>1.8380000000000001</v>
      </c>
      <c r="AB259" s="3">
        <f>0.5*Sheet1!AB259</f>
        <v>2.3639999999999999</v>
      </c>
      <c r="AD259" s="3">
        <f t="shared" si="3"/>
        <v>135.34037499999997</v>
      </c>
    </row>
    <row r="260" spans="1:30" s="3" customFormat="1" ht="32" x14ac:dyDescent="0.2">
      <c r="A260" s="2">
        <v>181</v>
      </c>
      <c r="B260" s="2" t="s">
        <v>389</v>
      </c>
      <c r="C260" s="2" t="s">
        <v>378</v>
      </c>
      <c r="D260" s="2" t="s">
        <v>26</v>
      </c>
      <c r="F260" s="3">
        <f>0.75*Sheet1!F260</f>
        <v>2.7374999999999998</v>
      </c>
      <c r="G260" s="3">
        <f>1.25*Sheet1!G260</f>
        <v>6.1762499999999996</v>
      </c>
      <c r="H260" s="3">
        <f>1.25*Sheet1!H260</f>
        <v>7.4431250000000002</v>
      </c>
      <c r="J260" s="3">
        <f>1.25*Sheet1!J260</f>
        <v>7.4431250000000002</v>
      </c>
      <c r="K260" s="3">
        <f>1.25*Sheet1!K260</f>
        <v>5.6887500000000006</v>
      </c>
      <c r="L260" s="3">
        <f>1.25*Sheet1!L260</f>
        <v>4.80375</v>
      </c>
      <c r="M260" s="3">
        <f>1.5*Sheet1!M260</f>
        <v>8.157</v>
      </c>
      <c r="N260" s="3">
        <f>1.25*Sheet1!N260</f>
        <v>11.239999999999988</v>
      </c>
      <c r="O260" s="3">
        <f>1.5*Sheet1!O260</f>
        <v>12.386999999999999</v>
      </c>
      <c r="Q260" s="3">
        <f>1*Sheet1!Q260</f>
        <v>8.9919999999999902</v>
      </c>
      <c r="R260" s="3">
        <f>1.25*Sheet1!R260</f>
        <v>10.322499999999998</v>
      </c>
      <c r="S260" s="3">
        <f>1.5*Sheet1!S260</f>
        <v>12.85275</v>
      </c>
      <c r="T260" s="3">
        <f>1.5*Sheet1!T260</f>
        <v>11.955</v>
      </c>
      <c r="U260" s="3">
        <f>0.75*Sheet1!U260</f>
        <v>4.9785000000000004</v>
      </c>
      <c r="V260" s="3">
        <f>0.75*Sheet1!V260</f>
        <v>5.6653124999999998</v>
      </c>
      <c r="W260" s="3">
        <f>0.75*Sheet1!W260</f>
        <v>5.9444999999999997</v>
      </c>
      <c r="Y260" s="3">
        <f>1.25*Sheet1!Y260</f>
        <v>7.6931249999999993</v>
      </c>
      <c r="Z260" s="3">
        <f>0.5*Sheet1!Z260</f>
        <v>2.7475000000000001</v>
      </c>
      <c r="AA260" s="3">
        <f>0.5*Sheet1!AA260</f>
        <v>1.3145</v>
      </c>
      <c r="AB260" s="3">
        <f>0.5*Sheet1!AB260</f>
        <v>2.9791249999999998</v>
      </c>
      <c r="AD260" s="3">
        <f t="shared" si="3"/>
        <v>141.52131249999999</v>
      </c>
    </row>
    <row r="261" spans="1:30" s="3" customFormat="1" ht="16" x14ac:dyDescent="0.2">
      <c r="A261" s="2">
        <v>161</v>
      </c>
      <c r="B261" s="2" t="s">
        <v>390</v>
      </c>
      <c r="C261" s="2" t="s">
        <v>391</v>
      </c>
      <c r="D261" s="2" t="s">
        <v>11</v>
      </c>
      <c r="F261" s="3">
        <f>0.75*Sheet1!F261</f>
        <v>6.1372499999999999</v>
      </c>
      <c r="G261" s="3">
        <f>1.25*Sheet1!G261</f>
        <v>7.7462499999999999</v>
      </c>
      <c r="H261" s="3">
        <f>1.25*Sheet1!H261</f>
        <v>6.0356249999999996</v>
      </c>
      <c r="J261" s="3">
        <f>1.25*Sheet1!J261</f>
        <v>6.0356249999999996</v>
      </c>
      <c r="K261" s="3">
        <f>1.25*Sheet1!K261</f>
        <v>3.5787499999999999</v>
      </c>
      <c r="L261" s="3">
        <f>1.25*Sheet1!L261</f>
        <v>2.7562500000000001</v>
      </c>
      <c r="M261" s="3">
        <f>1.5*Sheet1!M261</f>
        <v>6.6240000000000006</v>
      </c>
      <c r="N261" s="3">
        <f>1.25*Sheet1!N261</f>
        <v>9.9299999999999873</v>
      </c>
      <c r="O261" s="3">
        <f>1.5*Sheet1!O261</f>
        <v>14.565000000000001</v>
      </c>
      <c r="Q261" s="3">
        <f>1*Sheet1!Q261</f>
        <v>7.9439999999999902</v>
      </c>
      <c r="R261" s="3">
        <f>1.25*Sheet1!R261</f>
        <v>12.137500000000001</v>
      </c>
      <c r="S261" s="3">
        <f>1.5*Sheet1!S261</f>
        <v>8.9602499999999985</v>
      </c>
      <c r="T261" s="3">
        <f>1.5*Sheet1!T261</f>
        <v>9.9824999999999839</v>
      </c>
      <c r="U261" s="3">
        <f>0.75*Sheet1!U261</f>
        <v>1.2675000000000001</v>
      </c>
      <c r="V261" s="3">
        <f>0.75*Sheet1!V261</f>
        <v>3.4087499999999999</v>
      </c>
      <c r="W261" s="3">
        <f>0.75*Sheet1!W261</f>
        <v>0.88725000000000009</v>
      </c>
      <c r="Y261" s="3">
        <f>1.25*Sheet1!Y261</f>
        <v>2.723125</v>
      </c>
      <c r="Z261" s="3">
        <f>0.5*Sheet1!Z261</f>
        <v>2.4732500000000002</v>
      </c>
      <c r="AA261" s="3">
        <f>0.5*Sheet1!AA261</f>
        <v>2.5892499999999998</v>
      </c>
      <c r="AB261" s="3">
        <f>0.5*Sheet1!AB261</f>
        <v>2.6440000000000001</v>
      </c>
      <c r="AD261" s="3">
        <f t="shared" si="3"/>
        <v>118.42612499999996</v>
      </c>
    </row>
    <row r="262" spans="1:30" s="3" customFormat="1" ht="16" x14ac:dyDescent="0.2">
      <c r="A262" s="2">
        <v>209</v>
      </c>
      <c r="B262" s="2" t="s">
        <v>392</v>
      </c>
      <c r="C262" s="2" t="s">
        <v>393</v>
      </c>
      <c r="D262" s="2" t="s">
        <v>6</v>
      </c>
      <c r="F262" s="3">
        <f>0.75*Sheet1!F262</f>
        <v>4.6057500000000005</v>
      </c>
      <c r="G262" s="3">
        <f>1.25*Sheet1!G262</f>
        <v>7.7149999999999999</v>
      </c>
      <c r="H262" s="3">
        <f>1.25*Sheet1!H262</f>
        <v>5.2549999999999999</v>
      </c>
      <c r="J262" s="3">
        <f>1.25*Sheet1!J262</f>
        <v>5.2549999999999999</v>
      </c>
      <c r="K262" s="3">
        <f>1.25*Sheet1!K262</f>
        <v>7.875</v>
      </c>
      <c r="L262" s="3">
        <f>1.25*Sheet1!L262</f>
        <v>8.8625000000000007</v>
      </c>
      <c r="M262" s="3">
        <f>1.5*Sheet1!M262</f>
        <v>9.7717500000000008</v>
      </c>
      <c r="N262" s="3">
        <f>1.25*Sheet1!N262</f>
        <v>10.838749999999999</v>
      </c>
      <c r="O262" s="3">
        <f>1.5*Sheet1!O262</f>
        <v>12.93375</v>
      </c>
      <c r="Q262" s="3">
        <f>1*Sheet1!Q262</f>
        <v>8.6709999999999994</v>
      </c>
      <c r="R262" s="3">
        <f>1.25*Sheet1!R262</f>
        <v>10.778125000000001</v>
      </c>
      <c r="S262" s="3">
        <f>1.5*Sheet1!S262</f>
        <v>8.4855</v>
      </c>
      <c r="T262" s="3">
        <f>1.5*Sheet1!T262</f>
        <v>9.3694999999999951</v>
      </c>
      <c r="U262" s="3">
        <f>0.75*Sheet1!U262</f>
        <v>3.210375</v>
      </c>
      <c r="V262" s="3">
        <f>0.75*Sheet1!V262</f>
        <v>4.6618124999999999</v>
      </c>
      <c r="W262" s="3">
        <f>0.75*Sheet1!W262</f>
        <v>2.0527499999999925</v>
      </c>
      <c r="Y262" s="3">
        <f>1.25*Sheet1!Y262</f>
        <v>8.5131250000000005</v>
      </c>
      <c r="Z262" s="3">
        <f>0.5*Sheet1!Z262</f>
        <v>2.9660000000000002</v>
      </c>
      <c r="AA262" s="3">
        <f>0.5*Sheet1!AA262</f>
        <v>3.3205</v>
      </c>
      <c r="AB262" s="3">
        <f>0.5*Sheet1!AB262</f>
        <v>2.286999999999995</v>
      </c>
      <c r="AD262" s="3">
        <f t="shared" ref="AD262:AD270" si="4">SUM(F262:AB262)</f>
        <v>137.42818750000001</v>
      </c>
    </row>
    <row r="263" spans="1:30" s="3" customFormat="1" ht="16" x14ac:dyDescent="0.2">
      <c r="A263" s="2">
        <v>238</v>
      </c>
      <c r="B263" s="2" t="s">
        <v>394</v>
      </c>
      <c r="C263" s="2" t="s">
        <v>395</v>
      </c>
      <c r="D263" s="2" t="s">
        <v>16</v>
      </c>
      <c r="F263" s="3">
        <f>0.75*Sheet1!F263</f>
        <v>3.75</v>
      </c>
      <c r="G263" s="3">
        <f>1.25*Sheet1!G263</f>
        <v>0</v>
      </c>
      <c r="H263" s="3">
        <f>1.25*Sheet1!H263</f>
        <v>7.5181249999999995</v>
      </c>
      <c r="J263" s="3">
        <f>1.25*Sheet1!J263</f>
        <v>7.5181249999999995</v>
      </c>
      <c r="K263" s="3">
        <f>1.25*Sheet1!K263</f>
        <v>2.2287499999999998</v>
      </c>
      <c r="L263" s="3">
        <f>1.25*Sheet1!L263</f>
        <v>0</v>
      </c>
      <c r="M263" s="3">
        <f>1.5*Sheet1!M263</f>
        <v>8.3062499999999986</v>
      </c>
      <c r="N263" s="3">
        <f>1.25*Sheet1!N263</f>
        <v>6.4691666666666627</v>
      </c>
      <c r="O263" s="3">
        <f>1.5*Sheet1!O263</f>
        <v>9.255749999999999</v>
      </c>
      <c r="Q263" s="3">
        <f>1*Sheet1!Q263</f>
        <v>5.17533333333333</v>
      </c>
      <c r="R263" s="3">
        <f>1.25*Sheet1!R263</f>
        <v>7.7131249999999998</v>
      </c>
      <c r="S263" s="3">
        <f>1.5*Sheet1!S263</f>
        <v>13.356750000000002</v>
      </c>
      <c r="T263" s="3">
        <f>1.5*Sheet1!T263</f>
        <v>5.5399999999999947</v>
      </c>
      <c r="U263" s="3">
        <f>0.75*Sheet1!U263</f>
        <v>0</v>
      </c>
      <c r="V263" s="3">
        <f>0.75*Sheet1!V263</f>
        <v>4.9166249999999927</v>
      </c>
      <c r="W263" s="3">
        <f>0.75*Sheet1!W263</f>
        <v>2.0531249999999996</v>
      </c>
      <c r="Y263" s="3">
        <f>1.25*Sheet1!Y263</f>
        <v>1.5531249999999999</v>
      </c>
      <c r="Z263" s="3">
        <f>0.5*Sheet1!Z263</f>
        <v>1.5880000000000001</v>
      </c>
      <c r="AA263" s="3">
        <f>0.5*Sheet1!AA263</f>
        <v>2.1212499999999999</v>
      </c>
      <c r="AB263" s="3">
        <f>0.5*Sheet1!AB263</f>
        <v>0</v>
      </c>
      <c r="AD263" s="3">
        <f t="shared" si="4"/>
        <v>89.063499999999962</v>
      </c>
    </row>
    <row r="264" spans="1:30" s="3" customFormat="1" ht="16" x14ac:dyDescent="0.2">
      <c r="A264" s="2">
        <v>52</v>
      </c>
      <c r="B264" s="2" t="s">
        <v>396</v>
      </c>
      <c r="C264" s="2" t="s">
        <v>397</v>
      </c>
      <c r="D264" s="2" t="s">
        <v>11</v>
      </c>
      <c r="F264" s="3">
        <f>0.75*Sheet1!F264</f>
        <v>3.6768749999999999</v>
      </c>
      <c r="G264" s="3">
        <f>1.25*Sheet1!G264</f>
        <v>12.275</v>
      </c>
      <c r="H264" s="3">
        <f>1.25*Sheet1!H264</f>
        <v>5.2249999999999996</v>
      </c>
      <c r="J264" s="3">
        <f>1.25*Sheet1!J264</f>
        <v>5.2249999999999996</v>
      </c>
      <c r="K264" s="3">
        <f>1.25*Sheet1!K264</f>
        <v>3.816875</v>
      </c>
      <c r="L264" s="3">
        <f>1.25*Sheet1!L264</f>
        <v>0</v>
      </c>
      <c r="M264" s="3">
        <f>1.5*Sheet1!M264</f>
        <v>2.9670000000000001</v>
      </c>
      <c r="N264" s="3">
        <f>1.25*Sheet1!N264</f>
        <v>1.2499999999999987</v>
      </c>
      <c r="O264" s="3">
        <f>1.5*Sheet1!O264</f>
        <v>6.8257499999999851</v>
      </c>
      <c r="Q264" s="3">
        <f>1*Sheet1!Q264</f>
        <v>0.999999999999999</v>
      </c>
      <c r="R264" s="3">
        <f>1.25*Sheet1!R264</f>
        <v>5.688124999999987</v>
      </c>
      <c r="S264" s="3">
        <f>1.5*Sheet1!S264</f>
        <v>7.8315000000000001</v>
      </c>
      <c r="T264" s="3">
        <f>1.5*Sheet1!T264</f>
        <v>6.2674999999999947</v>
      </c>
      <c r="U264" s="3">
        <f>0.75*Sheet1!U264</f>
        <v>0</v>
      </c>
      <c r="V264" s="3">
        <f>0.75*Sheet1!V264</f>
        <v>1.704375</v>
      </c>
      <c r="W264" s="3">
        <f>0.75*Sheet1!W264</f>
        <v>0.99262499999999987</v>
      </c>
      <c r="Y264" s="3">
        <f>1.25*Sheet1!Y264</f>
        <v>2.0518749999999999</v>
      </c>
      <c r="Z264" s="3">
        <f>0.5*Sheet1!Z264</f>
        <v>2.19</v>
      </c>
      <c r="AA264" s="3">
        <f>0.5*Sheet1!AA264</f>
        <v>2.0492499999999998</v>
      </c>
      <c r="AB264" s="3">
        <f>0.5*Sheet1!AB264</f>
        <v>2.272125</v>
      </c>
      <c r="AD264" s="3">
        <f t="shared" si="4"/>
        <v>73.308874999999972</v>
      </c>
    </row>
    <row r="265" spans="1:30" s="3" customFormat="1" ht="32" x14ac:dyDescent="0.2">
      <c r="A265" s="2">
        <v>106</v>
      </c>
      <c r="B265" s="2" t="s">
        <v>398</v>
      </c>
      <c r="C265" s="2" t="s">
        <v>399</v>
      </c>
      <c r="D265" s="2" t="s">
        <v>16</v>
      </c>
      <c r="F265" s="3">
        <f>0.75*Sheet1!F265</f>
        <v>6.4634999999999998</v>
      </c>
      <c r="G265" s="3">
        <f>1.25*Sheet1!G265</f>
        <v>11.055</v>
      </c>
      <c r="H265" s="3">
        <f>1.25*Sheet1!H265</f>
        <v>6.3062500000000004</v>
      </c>
      <c r="J265" s="3">
        <f>1.25*Sheet1!J265</f>
        <v>6.3062500000000004</v>
      </c>
      <c r="K265" s="3">
        <f>1.25*Sheet1!K265</f>
        <v>6.1624999999999996</v>
      </c>
      <c r="L265" s="3">
        <f>1.25*Sheet1!L265</f>
        <v>2.1737500000000001</v>
      </c>
      <c r="M265" s="3">
        <f>1.5*Sheet1!M265</f>
        <v>7.2517500000000004</v>
      </c>
      <c r="N265" s="3">
        <f>1.25*Sheet1!N265</f>
        <v>5.1270833333333252</v>
      </c>
      <c r="O265" s="3">
        <f>1.5*Sheet1!O265</f>
        <v>8.9152499999999844</v>
      </c>
      <c r="Q265" s="3">
        <f>1*Sheet1!Q265</f>
        <v>4.1016666666666604</v>
      </c>
      <c r="R265" s="3">
        <f>1.25*Sheet1!R265</f>
        <v>7.429374999999987</v>
      </c>
      <c r="S265" s="3">
        <f>1.5*Sheet1!S265</f>
        <v>10.151250000000001</v>
      </c>
      <c r="T265" s="3">
        <f>1.5*Sheet1!T265</f>
        <v>8.3104999999999958</v>
      </c>
      <c r="U265" s="3">
        <f>0.75*Sheet1!U265</f>
        <v>3.0873749999999922</v>
      </c>
      <c r="V265" s="3">
        <f>0.75*Sheet1!V265</f>
        <v>1.0648124999999926</v>
      </c>
      <c r="W265" s="3">
        <f>0.75*Sheet1!W265</f>
        <v>1.56</v>
      </c>
      <c r="Y265" s="3">
        <f>1.25*Sheet1!Y265</f>
        <v>5.7062500000000007</v>
      </c>
      <c r="Z265" s="3">
        <f>0.5*Sheet1!Z265</f>
        <v>2.9369999999999998</v>
      </c>
      <c r="AA265" s="3">
        <f>0.5*Sheet1!AA265</f>
        <v>0.62875000000000003</v>
      </c>
      <c r="AB265" s="3">
        <f>0.5*Sheet1!AB265</f>
        <v>2.5917499999999949</v>
      </c>
      <c r="AD265" s="3">
        <f t="shared" si="4"/>
        <v>107.33006249999993</v>
      </c>
    </row>
    <row r="266" spans="1:30" s="3" customFormat="1" ht="16" x14ac:dyDescent="0.2">
      <c r="A266" s="2">
        <v>201</v>
      </c>
      <c r="B266" s="2" t="s">
        <v>400</v>
      </c>
      <c r="C266" s="2" t="s">
        <v>401</v>
      </c>
      <c r="D266" s="2" t="s">
        <v>6</v>
      </c>
      <c r="F266" s="3">
        <f>0.75*Sheet1!F266</f>
        <v>4.8296250000000001</v>
      </c>
      <c r="G266" s="3">
        <f>1.25*Sheet1!G266</f>
        <v>7.4362499999999994</v>
      </c>
      <c r="H266" s="3">
        <f>1.25*Sheet1!H266</f>
        <v>5.2549999999999999</v>
      </c>
      <c r="J266" s="3">
        <f>1.25*Sheet1!J266</f>
        <v>5.2549999999999999</v>
      </c>
      <c r="K266" s="3">
        <f>1.25*Sheet1!K266</f>
        <v>5.3381249999999998</v>
      </c>
      <c r="L266" s="3">
        <f>1.25*Sheet1!L266</f>
        <v>2.6212499999999999</v>
      </c>
      <c r="M266" s="3">
        <f>1.5*Sheet1!M266</f>
        <v>9.7717500000000008</v>
      </c>
      <c r="N266" s="3">
        <f>1.25*Sheet1!N266</f>
        <v>10.838749999999999</v>
      </c>
      <c r="O266" s="3">
        <f>1.5*Sheet1!O266</f>
        <v>10.7265</v>
      </c>
      <c r="Q266" s="3">
        <f>1*Sheet1!Q266</f>
        <v>8.6709999999999994</v>
      </c>
      <c r="R266" s="3">
        <f>1.25*Sheet1!R266</f>
        <v>8.9387499999999989</v>
      </c>
      <c r="S266" s="3">
        <f>1.5*Sheet1!S266</f>
        <v>5.0647500000000001</v>
      </c>
      <c r="T266" s="3">
        <f>1.5*Sheet1!T266</f>
        <v>9.7324999999999946</v>
      </c>
      <c r="U266" s="3">
        <f>0.75*Sheet1!U266</f>
        <v>2.718375</v>
      </c>
      <c r="V266" s="3">
        <f>0.75*Sheet1!V266</f>
        <v>4.9663124999999999</v>
      </c>
      <c r="W266" s="3">
        <f>0.75*Sheet1!W266</f>
        <v>1.0349999999999999</v>
      </c>
      <c r="Y266" s="3">
        <f>1.25*Sheet1!Y266</f>
        <v>9.5568749999999874</v>
      </c>
      <c r="Z266" s="3">
        <f>0.5*Sheet1!Z266</f>
        <v>3.1692499999999999</v>
      </c>
      <c r="AA266" s="3">
        <f>0.5*Sheet1!AA266</f>
        <v>0.51749999999999996</v>
      </c>
      <c r="AB266" s="3">
        <f>0.5*Sheet1!AB266</f>
        <v>2.8242499999999948</v>
      </c>
      <c r="AD266" s="3">
        <f t="shared" si="4"/>
        <v>119.26681249999996</v>
      </c>
    </row>
    <row r="267" spans="1:30" s="3" customFormat="1" ht="16" x14ac:dyDescent="0.2">
      <c r="A267" s="2">
        <v>222</v>
      </c>
      <c r="B267" s="2" t="s">
        <v>402</v>
      </c>
      <c r="C267" s="2" t="s">
        <v>403</v>
      </c>
      <c r="D267" s="2" t="s">
        <v>6</v>
      </c>
      <c r="F267" s="3">
        <f>0.75*Sheet1!F267</f>
        <v>1.7182499999999998</v>
      </c>
      <c r="G267" s="3">
        <f>1.25*Sheet1!G267</f>
        <v>4.7374999999999998</v>
      </c>
      <c r="H267" s="3">
        <f>1.25*Sheet1!H267</f>
        <v>5.9649999999999999</v>
      </c>
      <c r="J267" s="3">
        <f>1.25*Sheet1!J267</f>
        <v>5.9649999999999999</v>
      </c>
      <c r="K267" s="3">
        <f>1.25*Sheet1!K267</f>
        <v>10.458750000000002</v>
      </c>
      <c r="L267" s="3">
        <f>1.25*Sheet1!L267</f>
        <v>9.4387500000000006</v>
      </c>
      <c r="M267" s="3">
        <f>1.5*Sheet1!M267</f>
        <v>9.7717500000000008</v>
      </c>
      <c r="N267" s="3">
        <f>1.25*Sheet1!N267</f>
        <v>10.838749999999999</v>
      </c>
      <c r="O267" s="3">
        <f>1.5*Sheet1!O267</f>
        <v>12.134249999999998</v>
      </c>
      <c r="Q267" s="3">
        <f>1*Sheet1!Q267</f>
        <v>8.6709999999999994</v>
      </c>
      <c r="R267" s="3">
        <f>1.25*Sheet1!R267</f>
        <v>10.111875</v>
      </c>
      <c r="S267" s="3">
        <f>1.5*Sheet1!S267</f>
        <v>8.4547500000000007</v>
      </c>
      <c r="T267" s="3">
        <f>1.5*Sheet1!T267</f>
        <v>9.4644999999999904</v>
      </c>
      <c r="U267" s="3">
        <f>0.75*Sheet1!U267</f>
        <v>4.2858749999999999</v>
      </c>
      <c r="V267" s="3">
        <f>0.75*Sheet1!V267</f>
        <v>5.6701874999999999</v>
      </c>
      <c r="W267" s="3">
        <f>0.75*Sheet1!W267</f>
        <v>2.1633750000000003</v>
      </c>
      <c r="Y267" s="3">
        <f>1.25*Sheet1!Y267</f>
        <v>6.1756249999999877</v>
      </c>
      <c r="Z267" s="3">
        <f>0.5*Sheet1!Z267</f>
        <v>4.0577500000000004</v>
      </c>
      <c r="AA267" s="3">
        <f>0.5*Sheet1!AA267</f>
        <v>3.6047499999999948</v>
      </c>
      <c r="AB267" s="3">
        <f>0.5*Sheet1!AB267</f>
        <v>2.2618749999999999</v>
      </c>
      <c r="AD267" s="3">
        <f t="shared" si="4"/>
        <v>135.94956249999998</v>
      </c>
    </row>
    <row r="268" spans="1:30" s="3" customFormat="1" ht="16" x14ac:dyDescent="0.2">
      <c r="A268" s="2">
        <v>144</v>
      </c>
      <c r="B268" s="2" t="s">
        <v>404</v>
      </c>
      <c r="C268" s="2" t="s">
        <v>405</v>
      </c>
      <c r="D268" s="2" t="s">
        <v>6</v>
      </c>
      <c r="F268" s="3">
        <f>0.75*Sheet1!F268</f>
        <v>4.3721249999999925</v>
      </c>
      <c r="G268" s="3">
        <f>1.25*Sheet1!G268</f>
        <v>7.7162500000000005</v>
      </c>
      <c r="H268" s="3">
        <f>1.25*Sheet1!H268</f>
        <v>5.2549999999999999</v>
      </c>
      <c r="J268" s="3">
        <f>1.25*Sheet1!J268</f>
        <v>5.2549999999999999</v>
      </c>
      <c r="K268" s="3">
        <f>1.25*Sheet1!K268</f>
        <v>5.0212500000000002</v>
      </c>
      <c r="L268" s="3">
        <f>1.25*Sheet1!L268</f>
        <v>3.6412499999999999</v>
      </c>
      <c r="M268" s="3">
        <f>1.5*Sheet1!M268</f>
        <v>9.7717500000000008</v>
      </c>
      <c r="N268" s="3">
        <f>1.25*Sheet1!N268</f>
        <v>10.838749999999999</v>
      </c>
      <c r="O268" s="3">
        <f>1.5*Sheet1!O268</f>
        <v>11.85075</v>
      </c>
      <c r="Q268" s="3">
        <f>1*Sheet1!Q268</f>
        <v>8.6709999999999994</v>
      </c>
      <c r="R268" s="3">
        <f>1.25*Sheet1!R268</f>
        <v>9.8756249999999994</v>
      </c>
      <c r="S268" s="3">
        <f>1.5*Sheet1!S268</f>
        <v>11.042999999999999</v>
      </c>
      <c r="T268" s="3">
        <f>1.5*Sheet1!T268</f>
        <v>10.510499999999984</v>
      </c>
      <c r="U268" s="3">
        <f>0.75*Sheet1!U268</f>
        <v>4.0394999999999932</v>
      </c>
      <c r="V268" s="3">
        <f>0.75*Sheet1!V268</f>
        <v>7.1429999999999989</v>
      </c>
      <c r="W268" s="3">
        <f>0.75*Sheet1!W268</f>
        <v>0.92212500000000008</v>
      </c>
      <c r="Y268" s="3">
        <f>1.25*Sheet1!Y268</f>
        <v>6.2406249999999996</v>
      </c>
      <c r="Z268" s="3">
        <f>0.5*Sheet1!Z268</f>
        <v>2.2109999999999999</v>
      </c>
      <c r="AA268" s="3">
        <f>0.5*Sheet1!AA268</f>
        <v>2.1879999999999948</v>
      </c>
      <c r="AB268" s="3">
        <f>0.5*Sheet1!AB268</f>
        <v>2.7368749999999999</v>
      </c>
      <c r="AD268" s="3">
        <f t="shared" si="4"/>
        <v>129.30337499999993</v>
      </c>
    </row>
    <row r="269" spans="1:30" s="3" customFormat="1" ht="16" x14ac:dyDescent="0.2">
      <c r="A269" s="2">
        <v>158</v>
      </c>
      <c r="B269" s="2" t="s">
        <v>406</v>
      </c>
      <c r="C269" s="2" t="s">
        <v>405</v>
      </c>
      <c r="D269" s="2" t="s">
        <v>6</v>
      </c>
      <c r="F269" s="3">
        <f>0.75*Sheet1!F269</f>
        <v>4.5918749999999999</v>
      </c>
      <c r="G269" s="3">
        <f>1.25*Sheet1!G269</f>
        <v>6.9074999999999998</v>
      </c>
      <c r="H269" s="3">
        <f>1.25*Sheet1!H269</f>
        <v>5.2549999999999999</v>
      </c>
      <c r="J269" s="3">
        <f>1.25*Sheet1!J269</f>
        <v>5.2549999999999999</v>
      </c>
      <c r="K269" s="3">
        <f>1.25*Sheet1!K269</f>
        <v>6.038125</v>
      </c>
      <c r="L269" s="3">
        <f>1.25*Sheet1!L269</f>
        <v>2.5062499999999996</v>
      </c>
      <c r="M269" s="3">
        <f>1.5*Sheet1!M269</f>
        <v>9.7717500000000008</v>
      </c>
      <c r="N269" s="3">
        <f>1.25*Sheet1!N269</f>
        <v>10.838749999999999</v>
      </c>
      <c r="O269" s="3">
        <f>1.5*Sheet1!O269</f>
        <v>7.266</v>
      </c>
      <c r="Q269" s="3">
        <f>1*Sheet1!Q269</f>
        <v>8.6709999999999994</v>
      </c>
      <c r="R269" s="3">
        <f>1.25*Sheet1!R269</f>
        <v>6.0550000000000006</v>
      </c>
      <c r="S269" s="3">
        <f>1.5*Sheet1!S269</f>
        <v>6.400500000000001</v>
      </c>
      <c r="T269" s="3">
        <f>1.5*Sheet1!T269</f>
        <v>9.1234999999999946</v>
      </c>
      <c r="U269" s="3">
        <f>0.75*Sheet1!U269</f>
        <v>3.1327499999999997</v>
      </c>
      <c r="V269" s="3">
        <f>0.75*Sheet1!V269</f>
        <v>5.9917499999999997</v>
      </c>
      <c r="W269" s="3">
        <f>0.75*Sheet1!W269</f>
        <v>1.1906249999999998</v>
      </c>
      <c r="Y269" s="3">
        <f>1.25*Sheet1!Y269</f>
        <v>5.4325000000000001</v>
      </c>
      <c r="Z269" s="3">
        <f>0.5*Sheet1!Z269</f>
        <v>3.4187500000000002</v>
      </c>
      <c r="AA269" s="3">
        <f>0.5*Sheet1!AA269</f>
        <v>2.532</v>
      </c>
      <c r="AB269" s="3">
        <f>0.5*Sheet1!AB269</f>
        <v>2.4575</v>
      </c>
      <c r="AD269" s="3">
        <f t="shared" si="4"/>
        <v>112.83612499999998</v>
      </c>
    </row>
    <row r="270" spans="1:30" s="3" customFormat="1" ht="16" x14ac:dyDescent="0.2">
      <c r="A270" s="2">
        <v>6</v>
      </c>
      <c r="B270" s="2" t="s">
        <v>407</v>
      </c>
      <c r="C270" s="2" t="s">
        <v>407</v>
      </c>
      <c r="D270" s="2" t="s">
        <v>26</v>
      </c>
      <c r="F270" s="3">
        <f>0.75*Sheet1!F270</f>
        <v>2.97675</v>
      </c>
      <c r="G270" s="3">
        <f>1.25*Sheet1!G270</f>
        <v>0</v>
      </c>
      <c r="H270" s="3">
        <f>1.25*Sheet1!H270</f>
        <v>5.59375</v>
      </c>
      <c r="J270" s="3">
        <f>1.25*Sheet1!J270</f>
        <v>5.59375</v>
      </c>
      <c r="K270" s="3">
        <f>1.25*Sheet1!K270</f>
        <v>1.25</v>
      </c>
      <c r="L270" s="3">
        <f>1.25*Sheet1!L270</f>
        <v>0</v>
      </c>
      <c r="M270" s="3">
        <f>1.5*Sheet1!M270</f>
        <v>0</v>
      </c>
      <c r="N270" s="3">
        <f>1.25*Sheet1!N270</f>
        <v>0</v>
      </c>
      <c r="O270" s="3">
        <f>1.5*Sheet1!O270</f>
        <v>13.055250000000001</v>
      </c>
      <c r="Q270" s="3">
        <f>1*Sheet1!Q270</f>
        <v>0</v>
      </c>
      <c r="R270" s="3">
        <f>1.25*Sheet1!R270</f>
        <v>10.879375</v>
      </c>
      <c r="S270" s="3">
        <f>1.5*Sheet1!S270</f>
        <v>14.330249999999999</v>
      </c>
      <c r="T270" s="3">
        <f>1.5*Sheet1!T270</f>
        <v>0</v>
      </c>
      <c r="U270" s="3">
        <f>0.75*Sheet1!U270</f>
        <v>0</v>
      </c>
      <c r="V270" s="3">
        <f>0.75*Sheet1!V270</f>
        <v>5.4420000000000002</v>
      </c>
      <c r="W270" s="3">
        <f>0.75*Sheet1!W270</f>
        <v>0.375</v>
      </c>
      <c r="Y270" s="3">
        <f>1.25*Sheet1!Y270</f>
        <v>8.9824999999999999</v>
      </c>
      <c r="Z270" s="3">
        <f>0.5*Sheet1!Z270</f>
        <v>1.0660000000000001</v>
      </c>
      <c r="AA270" s="3">
        <f>0.5*Sheet1!AA270</f>
        <v>1.7942499999999999</v>
      </c>
      <c r="AB270" s="3">
        <f>0.5*Sheet1!AB270</f>
        <v>0</v>
      </c>
      <c r="AD270" s="3">
        <f t="shared" si="4"/>
        <v>71.338875000000002</v>
      </c>
    </row>
  </sheetData>
  <mergeCells count="4">
    <mergeCell ref="F3:H3"/>
    <mergeCell ref="J3:O3"/>
    <mergeCell ref="Q3:W3"/>
    <mergeCell ref="Y3:A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dhawal jain_iimrohtak</dc:creator>
  <cp:lastModifiedBy>Ashutosh  Sharma</cp:lastModifiedBy>
  <dcterms:created xsi:type="dcterms:W3CDTF">2026-01-31T18:30:25Z</dcterms:created>
  <dcterms:modified xsi:type="dcterms:W3CDTF">2026-02-01T10:50:42Z</dcterms:modified>
</cp:coreProperties>
</file>